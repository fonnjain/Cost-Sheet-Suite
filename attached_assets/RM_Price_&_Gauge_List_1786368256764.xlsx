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rive F\Companies\VTPL\Cost Sheet\Varun\"/>
    </mc:Choice>
  </mc:AlternateContent>
  <xr:revisionPtr revIDLastSave="0" documentId="13_ncr:1_{F486E1ED-2AF4-41E1-9BC3-372E7CF28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let and Gauge" sheetId="1" r:id="rId1"/>
    <sheet name="RM Price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Wycl6/Kh6PHgsg5l40QbxqTHun72XG3zs9MTXUw8KE="/>
    </ext>
  </extLst>
</workbook>
</file>

<file path=xl/calcChain.xml><?xml version="1.0" encoding="utf-8"?>
<calcChain xmlns="http://schemas.openxmlformats.org/spreadsheetml/2006/main">
  <c r="K10" i="2" l="1"/>
  <c r="K11" i="2"/>
  <c r="K12" i="2"/>
  <c r="K15" i="2"/>
  <c r="K9" i="2"/>
  <c r="K5" i="2"/>
  <c r="D123" i="2"/>
  <c r="D122" i="2"/>
  <c r="I34" i="2"/>
  <c r="I9" i="1"/>
  <c r="I20" i="2"/>
  <c r="D124" i="2"/>
  <c r="F124" i="2"/>
  <c r="E124" i="2"/>
  <c r="H110" i="2"/>
  <c r="G110" i="2"/>
  <c r="F110" i="2"/>
  <c r="E110" i="2"/>
  <c r="D110" i="2"/>
  <c r="D109" i="2"/>
  <c r="D108" i="2"/>
  <c r="D107" i="2"/>
  <c r="D106" i="2"/>
  <c r="D105" i="2"/>
  <c r="H94" i="2"/>
  <c r="G94" i="2"/>
  <c r="F94" i="2"/>
  <c r="E94" i="2"/>
  <c r="D94" i="2"/>
  <c r="D92" i="2"/>
  <c r="D81" i="2"/>
  <c r="F80" i="2"/>
  <c r="E80" i="2"/>
  <c r="D80" i="2"/>
  <c r="F79" i="2"/>
  <c r="D79" i="2"/>
  <c r="F78" i="2"/>
  <c r="D78" i="2"/>
  <c r="H46" i="2"/>
  <c r="G46" i="2"/>
  <c r="F46" i="2"/>
  <c r="E46" i="2"/>
  <c r="D46" i="2"/>
  <c r="L45" i="2"/>
  <c r="J45" i="2"/>
  <c r="E45" i="2"/>
  <c r="D45" i="2"/>
  <c r="D44" i="2"/>
  <c r="D43" i="2"/>
  <c r="G35" i="2"/>
  <c r="F35" i="2"/>
  <c r="E35" i="2"/>
  <c r="D35" i="2"/>
  <c r="H34" i="2"/>
  <c r="F34" i="2"/>
  <c r="E34" i="2"/>
  <c r="D34" i="2"/>
  <c r="D33" i="2"/>
  <c r="H21" i="2"/>
  <c r="G21" i="2"/>
  <c r="F21" i="2"/>
  <c r="E21" i="2"/>
  <c r="D21" i="2"/>
  <c r="F20" i="2"/>
  <c r="E20" i="2"/>
  <c r="D20" i="2"/>
  <c r="D19" i="2"/>
  <c r="O6" i="2"/>
  <c r="M6" i="2"/>
  <c r="L6" i="2"/>
  <c r="J6" i="2"/>
  <c r="I6" i="2"/>
  <c r="G6" i="2"/>
  <c r="F6" i="2"/>
  <c r="E6" i="2"/>
  <c r="D6" i="2"/>
  <c r="P5" i="2"/>
  <c r="G5" i="2"/>
  <c r="F5" i="2"/>
  <c r="E5" i="2"/>
  <c r="D5" i="2"/>
  <c r="D3" i="2"/>
  <c r="L9" i="1"/>
  <c r="I45" i="2"/>
  <c r="K9" i="1"/>
  <c r="J9" i="1"/>
  <c r="F9" i="1"/>
  <c r="E9" i="1"/>
  <c r="G9" i="1"/>
  <c r="I40" i="2"/>
  <c r="I39" i="2"/>
  <c r="I38" i="2"/>
  <c r="G34" i="2"/>
  <c r="G20" i="2"/>
  <c r="O5" i="2"/>
  <c r="M5" i="2"/>
  <c r="N5" i="2"/>
  <c r="H45" i="2"/>
  <c r="G45" i="2"/>
  <c r="G59" i="2"/>
  <c r="F45" i="2"/>
  <c r="L5" i="2"/>
  <c r="H20" i="2"/>
  <c r="J5" i="2"/>
  <c r="I5" i="2"/>
  <c r="J20" i="2"/>
  <c r="H5" i="2"/>
  <c r="I110" i="2"/>
  <c r="D12" i="2"/>
  <c r="D11" i="2"/>
  <c r="D10" i="2"/>
  <c r="D9" i="2"/>
  <c r="E12" i="2"/>
  <c r="E11" i="2"/>
  <c r="E10" i="2"/>
  <c r="E9" i="2"/>
  <c r="F15" i="2"/>
  <c r="F14" i="2"/>
  <c r="F13" i="2"/>
  <c r="F12" i="2"/>
  <c r="G15" i="2"/>
  <c r="G14" i="2"/>
  <c r="G13" i="2"/>
  <c r="G12" i="2"/>
  <c r="P16" i="2"/>
  <c r="P15" i="2"/>
  <c r="P14" i="2"/>
  <c r="P13" i="2"/>
  <c r="P12" i="2"/>
  <c r="F30" i="2"/>
  <c r="D30" i="2"/>
  <c r="H29" i="2"/>
  <c r="G29" i="2"/>
  <c r="F29" i="2"/>
  <c r="E29" i="2"/>
  <c r="D29" i="2"/>
  <c r="H28" i="2"/>
  <c r="G28" i="2"/>
  <c r="F28" i="2"/>
  <c r="E28" i="2"/>
  <c r="D28" i="2"/>
  <c r="D27" i="2"/>
  <c r="D26" i="2"/>
  <c r="H25" i="2"/>
  <c r="G25" i="2"/>
  <c r="F25" i="2"/>
  <c r="E25" i="2"/>
  <c r="D25" i="2"/>
  <c r="H24" i="2"/>
  <c r="G24" i="2"/>
  <c r="F24" i="2"/>
  <c r="E24" i="2"/>
  <c r="D24" i="2"/>
  <c r="G39" i="2"/>
  <c r="F39" i="2"/>
  <c r="E39" i="2"/>
  <c r="D39" i="2"/>
  <c r="G38" i="2"/>
  <c r="F38" i="2"/>
  <c r="E38" i="2"/>
  <c r="D38" i="2"/>
  <c r="H40" i="2"/>
  <c r="H39" i="2"/>
  <c r="H38" i="2"/>
  <c r="G75" i="2"/>
  <c r="F75" i="2"/>
  <c r="E75" i="2"/>
  <c r="D75" i="2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G67" i="2"/>
  <c r="F67" i="2"/>
  <c r="E67" i="2"/>
  <c r="D67" i="2"/>
  <c r="L65" i="2"/>
  <c r="H65" i="2"/>
  <c r="G65" i="2"/>
  <c r="F65" i="2"/>
  <c r="E65" i="2"/>
  <c r="D65" i="2"/>
  <c r="L64" i="2"/>
  <c r="H64" i="2"/>
  <c r="G64" i="2"/>
  <c r="F64" i="2"/>
  <c r="E64" i="2"/>
  <c r="D64" i="2"/>
  <c r="L63" i="2"/>
  <c r="I63" i="2"/>
  <c r="H63" i="2"/>
  <c r="G63" i="2"/>
  <c r="F63" i="2"/>
  <c r="E63" i="2"/>
  <c r="D63" i="2"/>
  <c r="H62" i="2"/>
  <c r="G62" i="2"/>
  <c r="F62" i="2"/>
  <c r="D62" i="2"/>
  <c r="L61" i="2"/>
  <c r="I61" i="2"/>
  <c r="H61" i="2"/>
  <c r="G61" i="2"/>
  <c r="F61" i="2"/>
  <c r="E61" i="2"/>
  <c r="D61" i="2"/>
  <c r="L60" i="2"/>
  <c r="H60" i="2"/>
  <c r="G60" i="2"/>
  <c r="F60" i="2"/>
  <c r="E60" i="2"/>
  <c r="D60" i="2"/>
  <c r="L59" i="2"/>
  <c r="I59" i="2"/>
  <c r="H59" i="2"/>
  <c r="F59" i="2"/>
  <c r="E59" i="2"/>
  <c r="D59" i="2"/>
  <c r="L58" i="2"/>
  <c r="I58" i="2"/>
  <c r="H58" i="2"/>
  <c r="G58" i="2"/>
  <c r="F58" i="2"/>
  <c r="E58" i="2"/>
  <c r="D58" i="2"/>
  <c r="L57" i="2"/>
  <c r="I57" i="2"/>
  <c r="H57" i="2"/>
  <c r="G57" i="2"/>
  <c r="F57" i="2"/>
  <c r="E57" i="2"/>
  <c r="D57" i="2"/>
  <c r="H56" i="2"/>
  <c r="G56" i="2"/>
  <c r="F56" i="2"/>
  <c r="E56" i="2"/>
  <c r="D56" i="2"/>
  <c r="L54" i="2"/>
  <c r="L53" i="2"/>
  <c r="H53" i="2"/>
  <c r="G53" i="2"/>
  <c r="F53" i="2"/>
  <c r="E53" i="2"/>
  <c r="D53" i="2"/>
  <c r="L52" i="2"/>
  <c r="I52" i="2"/>
  <c r="H52" i="2"/>
  <c r="G52" i="2"/>
  <c r="F52" i="2"/>
  <c r="E52" i="2"/>
  <c r="D52" i="2"/>
  <c r="L51" i="2"/>
  <c r="I51" i="2"/>
  <c r="H51" i="2"/>
  <c r="G51" i="2"/>
  <c r="F51" i="2"/>
  <c r="E51" i="2"/>
  <c r="D51" i="2"/>
  <c r="L50" i="2"/>
  <c r="I50" i="2"/>
  <c r="H50" i="2"/>
  <c r="G50" i="2"/>
  <c r="F50" i="2"/>
  <c r="E50" i="2"/>
  <c r="D50" i="2"/>
  <c r="I49" i="2"/>
  <c r="H49" i="2"/>
  <c r="G49" i="2"/>
  <c r="F49" i="2"/>
  <c r="E49" i="2"/>
  <c r="D49" i="2"/>
  <c r="J54" i="2"/>
  <c r="J51" i="2"/>
  <c r="J50" i="2"/>
  <c r="J49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H102" i="2"/>
  <c r="G102" i="2"/>
  <c r="F102" i="2"/>
  <c r="E102" i="2"/>
  <c r="D102" i="2"/>
  <c r="H101" i="2"/>
  <c r="G101" i="2"/>
  <c r="F101" i="2"/>
  <c r="E101" i="2"/>
  <c r="D101" i="2"/>
  <c r="H100" i="2"/>
  <c r="G100" i="2"/>
  <c r="F100" i="2"/>
  <c r="E100" i="2"/>
  <c r="D100" i="2"/>
  <c r="H99" i="2"/>
  <c r="G99" i="2"/>
  <c r="F99" i="2"/>
  <c r="E99" i="2"/>
  <c r="D99" i="2"/>
  <c r="H98" i="2"/>
  <c r="G98" i="2"/>
  <c r="F98" i="2"/>
  <c r="E98" i="2"/>
  <c r="D98" i="2"/>
  <c r="I119" i="2"/>
  <c r="H119" i="2"/>
  <c r="G119" i="2"/>
  <c r="F119" i="2"/>
  <c r="E119" i="2"/>
  <c r="D119" i="2"/>
  <c r="I118" i="2"/>
  <c r="H118" i="2"/>
  <c r="G118" i="2"/>
  <c r="F118" i="2"/>
  <c r="E118" i="2"/>
  <c r="D118" i="2"/>
  <c r="I117" i="2"/>
  <c r="H117" i="2"/>
  <c r="G117" i="2"/>
  <c r="F117" i="2"/>
  <c r="E117" i="2"/>
  <c r="D117" i="2"/>
  <c r="I116" i="2"/>
  <c r="H116" i="2"/>
  <c r="G116" i="2"/>
  <c r="F116" i="2"/>
  <c r="E116" i="2"/>
  <c r="D116" i="2"/>
  <c r="I115" i="2"/>
  <c r="H115" i="2"/>
  <c r="G115" i="2"/>
  <c r="F115" i="2"/>
  <c r="E115" i="2"/>
  <c r="D115" i="2"/>
  <c r="I114" i="2"/>
  <c r="H114" i="2"/>
  <c r="G114" i="2"/>
  <c r="F114" i="2"/>
  <c r="E114" i="2"/>
  <c r="D114" i="2"/>
  <c r="D130" i="2"/>
  <c r="D129" i="2"/>
  <c r="D128" i="2"/>
  <c r="E130" i="2"/>
  <c r="E129" i="2"/>
  <c r="E128" i="2"/>
  <c r="F130" i="2"/>
  <c r="F129" i="2"/>
  <c r="F128" i="2"/>
  <c r="Q23" i="2"/>
  <c r="R23" i="2"/>
  <c r="O23" i="2"/>
  <c r="P23" i="2"/>
  <c r="H16" i="2"/>
  <c r="H15" i="2"/>
  <c r="H14" i="2"/>
  <c r="H13" i="2"/>
  <c r="H12" i="2"/>
  <c r="H11" i="2"/>
  <c r="H10" i="2"/>
  <c r="H9" i="2"/>
  <c r="I15" i="2"/>
  <c r="I14" i="2"/>
  <c r="I13" i="2"/>
  <c r="I12" i="2"/>
  <c r="I11" i="2"/>
  <c r="I10" i="2"/>
  <c r="I9" i="2"/>
  <c r="J16" i="2"/>
  <c r="J15" i="2"/>
  <c r="J14" i="2"/>
  <c r="J13" i="2"/>
  <c r="J12" i="2"/>
  <c r="J11" i="2"/>
  <c r="L15" i="2"/>
  <c r="L14" i="2"/>
  <c r="L13" i="2"/>
  <c r="L12" i="2"/>
  <c r="H75" i="2"/>
  <c r="H74" i="2"/>
  <c r="H73" i="2"/>
  <c r="H72" i="2"/>
  <c r="H71" i="2"/>
  <c r="H70" i="2"/>
  <c r="H69" i="2"/>
  <c r="H68" i="2"/>
  <c r="H67" i="2"/>
  <c r="N16" i="2"/>
  <c r="N15" i="2"/>
  <c r="N14" i="2"/>
  <c r="N13" i="2"/>
  <c r="N12" i="2"/>
  <c r="N11" i="2"/>
  <c r="N10" i="2"/>
  <c r="N9" i="2"/>
  <c r="M12" i="2"/>
  <c r="M11" i="2"/>
  <c r="M10" i="2"/>
  <c r="M9" i="2"/>
  <c r="O12" i="2"/>
  <c r="O11" i="2"/>
  <c r="O10" i="2"/>
  <c r="O9" i="2"/>
  <c r="S23" i="2"/>
  <c r="K14" i="2" l="1"/>
  <c r="K13" i="2"/>
  <c r="K16" i="2"/>
  <c r="J25" i="2"/>
  <c r="J24" i="2"/>
  <c r="I24" i="2"/>
  <c r="I25" i="2"/>
  <c r="L110" i="2"/>
</calcChain>
</file>

<file path=xl/sharedStrings.xml><?xml version="1.0" encoding="utf-8"?>
<sst xmlns="http://schemas.openxmlformats.org/spreadsheetml/2006/main" count="634" uniqueCount="282">
  <si>
    <t>RATES ARE IN PER METRIC TON</t>
  </si>
  <si>
    <t>Daily Input</t>
  </si>
  <si>
    <t>Twice Mthly Input</t>
  </si>
  <si>
    <t>Date</t>
  </si>
  <si>
    <t>Auto Populate</t>
  </si>
  <si>
    <t>No Inputs</t>
  </si>
  <si>
    <t xml:space="preserve"> </t>
  </si>
  <si>
    <t>Zinc (HZL List)</t>
  </si>
  <si>
    <t>Billets</t>
  </si>
  <si>
    <t>Ryp_Coml (L)</t>
  </si>
  <si>
    <t>Ryp_Coml (H)</t>
  </si>
  <si>
    <t>Ryp_Test (L)</t>
  </si>
  <si>
    <t>Ryp_Test (H)</t>
  </si>
  <si>
    <t>Ngp_Test (H)</t>
  </si>
  <si>
    <t>SAIL_Dgp</t>
  </si>
  <si>
    <t>SAIL_Kol</t>
  </si>
  <si>
    <t>SAIL_Ryp</t>
  </si>
  <si>
    <t>SAIL_Ngp</t>
  </si>
  <si>
    <t>SAIL_Rour</t>
  </si>
  <si>
    <t>JSPL_Rgh</t>
  </si>
  <si>
    <t>HR Plates - 16, 20 mm</t>
  </si>
  <si>
    <t>Raipur_IS2062</t>
  </si>
  <si>
    <t>Rourkela_IS2062</t>
  </si>
  <si>
    <t>Raigarh_IS2062</t>
  </si>
  <si>
    <t>HR Coil - 2.5 to 8 mm</t>
  </si>
  <si>
    <t>Kolkatta_IS2062</t>
  </si>
  <si>
    <t>NCR_IS2062</t>
  </si>
  <si>
    <t>RM Category</t>
  </si>
  <si>
    <t>PG /NTPC</t>
  </si>
  <si>
    <t>MS</t>
  </si>
  <si>
    <t>MAIN /BSEN</t>
  </si>
  <si>
    <t>Wire Rods - 16/22 mm</t>
  </si>
  <si>
    <t>Ludhiana_Coml</t>
  </si>
  <si>
    <t>RINL/JSW (Pb)</t>
  </si>
  <si>
    <t>RINL/JSW (Lkw)</t>
  </si>
  <si>
    <t>NPG</t>
  </si>
  <si>
    <t>CORE</t>
  </si>
  <si>
    <t>HT</t>
  </si>
  <si>
    <t>Rounds - 28 to 56 mm</t>
  </si>
  <si>
    <t>Delhi (Coml)</t>
  </si>
  <si>
    <t>RINL/JSW (Ngp)</t>
  </si>
  <si>
    <t>RINL/JSW (Jpr)</t>
  </si>
  <si>
    <t>Gauge Sheet</t>
  </si>
  <si>
    <t>Updated</t>
  </si>
  <si>
    <t>03.04.26</t>
  </si>
  <si>
    <t>MS Angle</t>
  </si>
  <si>
    <t>Sections</t>
  </si>
  <si>
    <t>Gauge Diff</t>
  </si>
  <si>
    <t>Base Angles</t>
  </si>
  <si>
    <t>L-50X6, 65X6, 75X6</t>
  </si>
  <si>
    <t>L-50X5/8, 65X5/8, 75X5/8</t>
  </si>
  <si>
    <t>TLT Angles</t>
  </si>
  <si>
    <t>L-40x4/5/6, L-45x4/5/6, L-50x4, L-55x4/5, L-60x4/5, L-65X4, L-70x5/6, L-75x10, L-80x6/8</t>
  </si>
  <si>
    <t>Unequal Angles</t>
  </si>
  <si>
    <t>UL-45x30x4/ 45x30x5</t>
  </si>
  <si>
    <t>Medium Angles (BALAJEE)</t>
  </si>
  <si>
    <t>L-90x6/8/10</t>
  </si>
  <si>
    <t>L-100X6/8/10/12</t>
  </si>
  <si>
    <t>L-110X8/10/12</t>
  </si>
  <si>
    <t>Medium Angles (MAHAMAYA)</t>
  </si>
  <si>
    <t>Heavy Angles</t>
  </si>
  <si>
    <t>L-130X10/12</t>
  </si>
  <si>
    <t>L-150X10/12/16/20</t>
  </si>
  <si>
    <t>Super Heavy Angles</t>
  </si>
  <si>
    <t>L-200X12/16/20</t>
  </si>
  <si>
    <t>L-200X25</t>
  </si>
  <si>
    <t>Light - Medium (SREL)</t>
  </si>
  <si>
    <t>L-45 to L-130</t>
  </si>
  <si>
    <t>Heavy (SREL)</t>
  </si>
  <si>
    <t>L-150</t>
  </si>
  <si>
    <t>Super Heavy (SREL)</t>
  </si>
  <si>
    <t>L-200</t>
  </si>
  <si>
    <t>Ultra Heavy (SREL)</t>
  </si>
  <si>
    <t>L-250</t>
  </si>
  <si>
    <t>Light (JSPL)</t>
  </si>
  <si>
    <t>L-75 to L-90</t>
  </si>
  <si>
    <t>Medium (JSPL)</t>
  </si>
  <si>
    <t>L-100 - 130</t>
  </si>
  <si>
    <t>Heavy (JSPL)</t>
  </si>
  <si>
    <t>Super Heavy (JSPL)</t>
  </si>
  <si>
    <t>Ultra Heavy (JSPL)</t>
  </si>
  <si>
    <t>MS Flats</t>
  </si>
  <si>
    <t>Base</t>
  </si>
  <si>
    <t>F-40x10/12, F-50x8/10/12, F-65x6/8/10/12, F-75x6/8/10/12, F-100x6/8/10/12/16</t>
  </si>
  <si>
    <t>Base Thin</t>
  </si>
  <si>
    <t>F-40x6, 50x6</t>
  </si>
  <si>
    <t>Medium</t>
  </si>
  <si>
    <t>F-125/150x6/8/10/12/16</t>
  </si>
  <si>
    <t>Wide</t>
  </si>
  <si>
    <t>F-200x6/8/10/12/16</t>
  </si>
  <si>
    <t>Ultra Wide</t>
  </si>
  <si>
    <t>F-250x6/8/10/12/16</t>
  </si>
  <si>
    <t>Thin</t>
  </si>
  <si>
    <t>F-25x5/6</t>
  </si>
  <si>
    <t>Ultra Thin</t>
  </si>
  <si>
    <t>F-25x3/4</t>
  </si>
  <si>
    <t>Base - (SREL / SWASTI)</t>
  </si>
  <si>
    <t>F-50x6/8, 75x8/10/12</t>
  </si>
  <si>
    <t>MS Rounds</t>
  </si>
  <si>
    <t>MSR-28, 30, 32, 34, 36, 38, 40, 42, 45, 50</t>
  </si>
  <si>
    <t>MSR-20, 22, 25</t>
  </si>
  <si>
    <t>MSR-54, 56, 60, 63, 65</t>
  </si>
  <si>
    <t>MS &amp; H Beam</t>
  </si>
  <si>
    <t>MS Beam (RUPL-C)</t>
  </si>
  <si>
    <t>RSJ/WPB (SAIL-DGP)</t>
  </si>
  <si>
    <t>B-150</t>
  </si>
  <si>
    <t>HB-100X116 23 kg</t>
  </si>
  <si>
    <t>B-125 13.3 kg</t>
  </si>
  <si>
    <t>HB-150 37 kg</t>
  </si>
  <si>
    <t>B-175 19 kg</t>
  </si>
  <si>
    <t>HB-150 34 kg</t>
  </si>
  <si>
    <t>B-200</t>
  </si>
  <si>
    <t>HB-203x152 52 kg</t>
  </si>
  <si>
    <t>WPB-160X152 30.44 kg</t>
  </si>
  <si>
    <t>B-250</t>
  </si>
  <si>
    <t>B-300</t>
  </si>
  <si>
    <t>MS Chnnl (RUPL-C)</t>
  </si>
  <si>
    <t>RSJ/UC/WPB (JSPL)</t>
  </si>
  <si>
    <t>B-350</t>
  </si>
  <si>
    <t>C-100/125/150</t>
  </si>
  <si>
    <t>B-400</t>
  </si>
  <si>
    <t>C-75</t>
  </si>
  <si>
    <t>-</t>
  </si>
  <si>
    <t>B-450</t>
  </si>
  <si>
    <t>C-175</t>
  </si>
  <si>
    <t>B-500</t>
  </si>
  <si>
    <t>C-200</t>
  </si>
  <si>
    <t>UC-203x152 52 kg</t>
  </si>
  <si>
    <t>B-600</t>
  </si>
  <si>
    <t>C-250</t>
  </si>
  <si>
    <t>UC-203x203 52 kg</t>
  </si>
  <si>
    <t>MS H Beam (JSPL)</t>
  </si>
  <si>
    <t>HB-150 30 kg</t>
  </si>
  <si>
    <t>B-150 / 152</t>
  </si>
  <si>
    <t>HB-200x152</t>
  </si>
  <si>
    <t>HB-200</t>
  </si>
  <si>
    <t>MS Channel</t>
  </si>
  <si>
    <t>MS Channel (JSPL)</t>
  </si>
  <si>
    <t>C-225</t>
  </si>
  <si>
    <t>C-300</t>
  </si>
  <si>
    <t>C-400</t>
  </si>
  <si>
    <t>MS Plates</t>
  </si>
  <si>
    <t>Gauge Diff. (SAIL-B)</t>
  </si>
  <si>
    <t>Gauge Diff. (SAIL-R)</t>
  </si>
  <si>
    <t>Gauge Diff. (JSPL)</t>
  </si>
  <si>
    <t>6 mm, 8 mm, 10 mm</t>
  </si>
  <si>
    <t>16 mm &amp; 20 mm</t>
  </si>
  <si>
    <t>12mm &amp; 25 mm</t>
  </si>
  <si>
    <t>28 mm to 40 mm</t>
  </si>
  <si>
    <t>45 mm to 63 mm</t>
  </si>
  <si>
    <t>5 mm to 8 mm (Cheq.)</t>
  </si>
  <si>
    <t>ERW Pipe / SHS / RHS</t>
  </si>
  <si>
    <t>25 NB to 65 NB</t>
  </si>
  <si>
    <t>80 NB to 150 NB</t>
  </si>
  <si>
    <t>175 NB to 200 NB</t>
  </si>
  <si>
    <t>250 NB to 300 NB</t>
  </si>
  <si>
    <t>350 NB to 400 NB</t>
  </si>
  <si>
    <t>Hardware (N&amp;B)</t>
  </si>
  <si>
    <t>M16 N&amp;B</t>
  </si>
  <si>
    <t>M12 N&amp;B</t>
  </si>
  <si>
    <t>M20 N&amp;B</t>
  </si>
  <si>
    <t>M-12/16/20 PW</t>
  </si>
  <si>
    <t>M-12/16/20 SPW</t>
  </si>
  <si>
    <t>M-16 SB</t>
  </si>
  <si>
    <t>Grades</t>
  </si>
  <si>
    <t>Angles</t>
  </si>
  <si>
    <t>Flats</t>
  </si>
  <si>
    <t>Conversion</t>
  </si>
  <si>
    <t>Rounds</t>
  </si>
  <si>
    <t>RSJ/WPB</t>
  </si>
  <si>
    <t>Plates</t>
  </si>
  <si>
    <t>Pipe / SHS / RHS</t>
  </si>
  <si>
    <t>MS (YST-210/240)</t>
  </si>
  <si>
    <t>HT (YST-310)</t>
  </si>
  <si>
    <t>Hardware</t>
  </si>
  <si>
    <t>Drawing</t>
  </si>
  <si>
    <t>Foundation Bolt</t>
  </si>
  <si>
    <t>HT (Gauge Diff.)</t>
  </si>
  <si>
    <t>Base Price:</t>
  </si>
  <si>
    <t>Load+Trspt+Brok</t>
  </si>
  <si>
    <t>Make:</t>
  </si>
  <si>
    <t>(NPG)</t>
  </si>
  <si>
    <t>(PG)</t>
  </si>
  <si>
    <t>(TESTED)</t>
  </si>
  <si>
    <t>(MAIN/BSEN)</t>
  </si>
  <si>
    <t>(MAIN)</t>
  </si>
  <si>
    <t>(PG/NTPC)</t>
  </si>
  <si>
    <t>Supplier:</t>
  </si>
  <si>
    <t>BALAJEE</t>
  </si>
  <si>
    <t>JAI AMBE</t>
  </si>
  <si>
    <t>NSPL</t>
  </si>
  <si>
    <t>VANDANA</t>
  </si>
  <si>
    <t>SREL</t>
  </si>
  <si>
    <t>KIPL</t>
  </si>
  <si>
    <t>SBAL</t>
  </si>
  <si>
    <t>MADHUR</t>
  </si>
  <si>
    <t>JSPL</t>
  </si>
  <si>
    <t>50/65/75 x 6/8 mm</t>
  </si>
  <si>
    <t>Light</t>
  </si>
  <si>
    <t>50/65/75 x 5 mm</t>
  </si>
  <si>
    <t>TLT 45 - 80 mm</t>
  </si>
  <si>
    <t>TLT 90 - 110 mm</t>
  </si>
  <si>
    <t>130 mm</t>
  </si>
  <si>
    <t>Heavy</t>
  </si>
  <si>
    <t>150 mm</t>
  </si>
  <si>
    <t>200 mm</t>
  </si>
  <si>
    <t>Super Heavy</t>
  </si>
  <si>
    <t>250 mm</t>
  </si>
  <si>
    <t>Ultra Heavy</t>
  </si>
  <si>
    <t xml:space="preserve">        </t>
  </si>
  <si>
    <t>SRS</t>
  </si>
  <si>
    <t>ANKIT</t>
  </si>
  <si>
    <t>RATS/MAHS</t>
  </si>
  <si>
    <t>SWASTIKA</t>
  </si>
  <si>
    <t>40/50 x 6</t>
  </si>
  <si>
    <t>50/65/75/100 x 8/10/12</t>
  </si>
  <si>
    <t>25 x 5/6</t>
  </si>
  <si>
    <t>25 x 3/4</t>
  </si>
  <si>
    <t>125/150 x 6/8/10/12/16</t>
  </si>
  <si>
    <t>200 x 6/8/10/12/16</t>
  </si>
  <si>
    <t>250 x 6/8/10/12</t>
  </si>
  <si>
    <t>(Tested)</t>
  </si>
  <si>
    <t>RATS</t>
  </si>
  <si>
    <t>BHAGWATI</t>
  </si>
  <si>
    <t>28, 30, 32, 36, 40, 42, 45, 50 mm</t>
  </si>
  <si>
    <t>20, 22, 25 mm</t>
  </si>
  <si>
    <t>54, 56, 60, 63, 65 mm</t>
  </si>
  <si>
    <t>RSJ, WPB, Channels &amp; Beams</t>
  </si>
  <si>
    <t>(CORE)</t>
  </si>
  <si>
    <t>GANPATI</t>
  </si>
  <si>
    <t>RRI</t>
  </si>
  <si>
    <t>RUPL</t>
  </si>
  <si>
    <t>SAIL</t>
  </si>
  <si>
    <t>100 x 116 mm (RSJ)</t>
  </si>
  <si>
    <t>152 x 152 mm (RSJ), 37kg</t>
  </si>
  <si>
    <t>150 x 150 mm (RSJ), 34kg</t>
  </si>
  <si>
    <t>203 x 152 mm (RSJ/UC)</t>
  </si>
  <si>
    <t>203 x 203 mm (RSJ/UC)</t>
  </si>
  <si>
    <t>160 x 152 mm (WPB)</t>
  </si>
  <si>
    <t>74 x 40 mm (MC)</t>
  </si>
  <si>
    <t>100 x 50 mm (MC)</t>
  </si>
  <si>
    <t>125 x 65 mm (MC)</t>
  </si>
  <si>
    <t>150 x 75 mm (MC)</t>
  </si>
  <si>
    <t>175 x 75 mm (MC)</t>
  </si>
  <si>
    <t>200 x 75 mm (MC)</t>
  </si>
  <si>
    <t>225 x 80 mm (MC)</t>
  </si>
  <si>
    <t>250 x 80 mm (MC)</t>
  </si>
  <si>
    <t>300 x 90 mm (MC)</t>
  </si>
  <si>
    <t>400 x 100 mm (MC)</t>
  </si>
  <si>
    <t>150 x 75 mm (MB)</t>
  </si>
  <si>
    <t>200 x 100 mm (MB)</t>
  </si>
  <si>
    <t>250 x 125 mm (MB)</t>
  </si>
  <si>
    <t>300 x 140 mm (MB)</t>
  </si>
  <si>
    <t>350 x 140 mm (MB)</t>
  </si>
  <si>
    <t>400 x 140 mm (MB)</t>
  </si>
  <si>
    <t>450 x 150 mm (MB)</t>
  </si>
  <si>
    <t>500 x 180 mm (MB)</t>
  </si>
  <si>
    <t>600 x 210 mm (MB)</t>
  </si>
  <si>
    <t>Plate</t>
  </si>
  <si>
    <t>Transportation:</t>
  </si>
  <si>
    <t xml:space="preserve">MEHTA </t>
  </si>
  <si>
    <t>RELIABLE</t>
  </si>
  <si>
    <t>Pipe</t>
  </si>
  <si>
    <t>MS (YST-240)</t>
  </si>
  <si>
    <t>TATA (240)</t>
  </si>
  <si>
    <t>JINDAL (K)</t>
  </si>
  <si>
    <t>UTPL (K)</t>
  </si>
  <si>
    <t>DADU(GZ)</t>
  </si>
  <si>
    <t>APL (RYP)</t>
  </si>
  <si>
    <t>REMAX</t>
  </si>
  <si>
    <t>BRK</t>
  </si>
  <si>
    <t>VINDHYAVAS</t>
  </si>
  <si>
    <t>M-16 N&amp;B</t>
  </si>
  <si>
    <t>M-12 N&amp;B</t>
  </si>
  <si>
    <t>M-20 N&amp;B</t>
  </si>
  <si>
    <t>Foundation Bolts</t>
  </si>
  <si>
    <t>HS ENG</t>
  </si>
  <si>
    <t>VINDHYA</t>
  </si>
  <si>
    <t>AVF</t>
  </si>
  <si>
    <t>Light (M16/20/25/28)</t>
  </si>
  <si>
    <t>Medium (M-30/32/36/40/42)</t>
  </si>
  <si>
    <t>Heavy (M-48/50/56/63/80)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</si>
</sst>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u/>
      <sz val="14"/>
      <color theme="1"/>
      <name val="Calibri"/>
    </font>
    <font>
      <sz val="14"/>
      <color theme="1"/>
      <name val="Calibri"/>
    </font>
    <font>
      <b/>
      <sz val="22"/>
      <color theme="1"/>
      <name val="Calibri"/>
    </font>
    <font>
      <sz val="12"/>
      <color rgb="FF212529"/>
      <name val="Chivo"/>
    </font>
    <font>
      <sz val="11"/>
      <color theme="1"/>
      <name val="Calibri"/>
      <scheme val="minor"/>
    </font>
    <font>
      <b/>
      <u/>
      <sz val="11"/>
      <color theme="1"/>
      <name val="Calibri"/>
    </font>
    <font>
      <u/>
      <sz val="14"/>
      <color theme="1"/>
      <name val="Calibri"/>
    </font>
    <font>
      <sz val="14"/>
      <color rgb="FF000000"/>
      <name val="Calibri"/>
    </font>
    <font>
      <b/>
      <u/>
      <sz val="14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BD4B4"/>
        <bgColor rgb="FFFBD4B4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57BB8A"/>
        <bgColor rgb="FF57BB8A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4" borderId="4" xfId="0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2" fillId="8" borderId="3" xfId="0" applyFont="1" applyFill="1" applyBorder="1"/>
    <xf numFmtId="0" fontId="2" fillId="8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top"/>
    </xf>
    <xf numFmtId="0" fontId="2" fillId="9" borderId="3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0" xfId="0" applyFont="1" applyBorder="1"/>
    <xf numFmtId="0" fontId="2" fillId="0" borderId="3" xfId="0" applyFont="1" applyBorder="1"/>
    <xf numFmtId="0" fontId="2" fillId="2" borderId="3" xfId="0" applyFont="1" applyFill="1" applyBorder="1"/>
    <xf numFmtId="0" fontId="2" fillId="4" borderId="3" xfId="0" applyFont="1" applyFill="1" applyBorder="1"/>
    <xf numFmtId="0" fontId="7" fillId="10" borderId="3" xfId="0" applyFont="1" applyFill="1" applyBorder="1" applyAlignment="1">
      <alignment horizontal="center"/>
    </xf>
    <xf numFmtId="0" fontId="1" fillId="0" borderId="3" xfId="0" applyFont="1" applyBorder="1"/>
    <xf numFmtId="0" fontId="2" fillId="4" borderId="3" xfId="0" applyFont="1" applyFill="1" applyBorder="1" applyAlignment="1">
      <alignment horizontal="center"/>
    </xf>
    <xf numFmtId="0" fontId="7" fillId="0" borderId="3" xfId="0" applyFont="1" applyBorder="1"/>
    <xf numFmtId="0" fontId="1" fillId="9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/>
    <xf numFmtId="0" fontId="7" fillId="9" borderId="3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7" fillId="9" borderId="4" xfId="0" applyFont="1" applyFill="1" applyBorder="1"/>
    <xf numFmtId="0" fontId="12" fillId="0" borderId="3" xfId="0" applyFont="1" applyBorder="1"/>
    <xf numFmtId="0" fontId="2" fillId="4" borderId="3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3" fillId="0" borderId="3" xfId="0" applyFont="1" applyBorder="1"/>
    <xf numFmtId="0" fontId="6" fillId="5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 wrapText="1"/>
    </xf>
    <xf numFmtId="0" fontId="2" fillId="12" borderId="3" xfId="0" applyFont="1" applyFill="1" applyBorder="1"/>
    <xf numFmtId="0" fontId="2" fillId="12" borderId="2" xfId="0" applyFont="1" applyFill="1" applyBorder="1" applyAlignment="1">
      <alignment horizontal="center"/>
    </xf>
    <xf numFmtId="0" fontId="7" fillId="12" borderId="4" xfId="0" applyFont="1" applyFill="1" applyBorder="1"/>
    <xf numFmtId="0" fontId="7" fillId="12" borderId="5" xfId="0" applyFont="1" applyFill="1" applyBorder="1" applyAlignment="1">
      <alignment horizontal="center"/>
    </xf>
    <xf numFmtId="0" fontId="2" fillId="12" borderId="4" xfId="0" applyFont="1" applyFill="1" applyBorder="1"/>
    <xf numFmtId="0" fontId="2" fillId="12" borderId="4" xfId="0" applyFont="1" applyFill="1" applyBorder="1" applyAlignment="1">
      <alignment horizontal="left"/>
    </xf>
    <xf numFmtId="0" fontId="7" fillId="13" borderId="3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left"/>
    </xf>
    <xf numFmtId="0" fontId="2" fillId="14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left"/>
    </xf>
    <xf numFmtId="0" fontId="7" fillId="14" borderId="5" xfId="0" applyFont="1" applyFill="1" applyBorder="1" applyAlignment="1">
      <alignment horizontal="center"/>
    </xf>
    <xf numFmtId="0" fontId="2" fillId="2" borderId="2" xfId="0" applyFont="1" applyFill="1" applyBorder="1"/>
    <xf numFmtId="0" fontId="1" fillId="0" borderId="2" xfId="0" applyFont="1" applyBorder="1"/>
    <xf numFmtId="0" fontId="1" fillId="0" borderId="6" xfId="0" applyFont="1" applyBorder="1"/>
    <xf numFmtId="0" fontId="7" fillId="2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12" borderId="6" xfId="0" applyFont="1" applyFill="1" applyBorder="1" applyAlignment="1">
      <alignment horizontal="left" vertical="center"/>
    </xf>
    <xf numFmtId="0" fontId="4" fillId="12" borderId="4" xfId="0" applyFont="1" applyFill="1" applyBorder="1"/>
    <xf numFmtId="0" fontId="2" fillId="0" borderId="1" xfId="0" applyFont="1" applyBorder="1" applyAlignment="1">
      <alignment horizontal="left" vertical="center"/>
    </xf>
    <xf numFmtId="0" fontId="4" fillId="0" borderId="2" xfId="0" applyFont="1" applyBorder="1"/>
    <xf numFmtId="0" fontId="2" fillId="12" borderId="6" xfId="0" applyFont="1" applyFill="1" applyBorder="1" applyAlignment="1">
      <alignment horizontal="left" vertical="center" wrapText="1"/>
    </xf>
    <xf numFmtId="0" fontId="4" fillId="1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65"/>
  <sheetViews>
    <sheetView tabSelected="1" topLeftCell="A44" workbookViewId="0">
      <selection activeCell="D48" sqref="D48"/>
    </sheetView>
  </sheetViews>
  <sheetFormatPr defaultColWidth="14.453125" defaultRowHeight="15" customHeight="1"/>
  <cols>
    <col min="1" max="1" width="4" customWidth="1"/>
    <col min="2" max="2" width="26.54296875" customWidth="1"/>
    <col min="3" max="3" width="28.7265625" customWidth="1"/>
    <col min="4" max="4" width="22.26953125" customWidth="1"/>
    <col min="5" max="5" width="21.81640625" customWidth="1"/>
    <col min="6" max="6" width="17.7265625" customWidth="1"/>
    <col min="7" max="7" width="17.453125" customWidth="1"/>
    <col min="8" max="8" width="24.26953125" customWidth="1"/>
    <col min="9" max="9" width="13.54296875" customWidth="1"/>
    <col min="14" max="26" width="14.453125" style="4"/>
  </cols>
  <sheetData>
    <row r="1" spans="1:13" ht="18.5">
      <c r="A1" s="1"/>
      <c r="B1" s="2"/>
      <c r="C1" s="2"/>
      <c r="D1" s="3"/>
      <c r="E1" s="1"/>
      <c r="F1" s="1"/>
      <c r="G1" s="1"/>
      <c r="H1" s="1"/>
      <c r="I1" s="1"/>
      <c r="J1" s="1"/>
      <c r="K1" s="1"/>
      <c r="L1" s="1"/>
      <c r="M1" s="1"/>
    </row>
    <row r="2" spans="1:13" ht="18.5">
      <c r="A2" s="1"/>
      <c r="B2" s="99" t="s">
        <v>0</v>
      </c>
      <c r="C2" s="100"/>
      <c r="D2" s="3"/>
      <c r="E2" s="5"/>
      <c r="F2" s="6" t="s">
        <v>1</v>
      </c>
      <c r="H2" s="1"/>
      <c r="I2" s="1"/>
      <c r="J2" s="1"/>
      <c r="K2" s="1"/>
      <c r="L2" s="1"/>
      <c r="M2" s="1"/>
    </row>
    <row r="3" spans="1:13" ht="14.5">
      <c r="A3" s="1"/>
      <c r="B3" s="7"/>
      <c r="C3" s="3"/>
      <c r="D3" s="3"/>
      <c r="E3" s="8"/>
      <c r="F3" s="6" t="s">
        <v>2</v>
      </c>
      <c r="H3" s="1"/>
      <c r="I3" s="1"/>
      <c r="J3" s="1"/>
      <c r="K3" s="1"/>
      <c r="L3" s="1"/>
      <c r="M3" s="1"/>
    </row>
    <row r="4" spans="1:13" ht="18.5">
      <c r="A4" s="1"/>
      <c r="B4" s="9" t="s">
        <v>3</v>
      </c>
      <c r="C4" s="10">
        <v>46120</v>
      </c>
      <c r="D4" s="3"/>
      <c r="E4" s="11"/>
      <c r="F4" s="6" t="s">
        <v>4</v>
      </c>
      <c r="H4" s="1"/>
      <c r="I4" s="1"/>
      <c r="J4" s="1"/>
      <c r="K4" s="1"/>
      <c r="L4" s="1"/>
      <c r="M4" s="1"/>
    </row>
    <row r="5" spans="1:13" ht="14.5">
      <c r="A5" s="1"/>
      <c r="B5" s="7"/>
      <c r="C5" s="3"/>
      <c r="D5" s="3"/>
      <c r="E5" s="12"/>
      <c r="F5" s="6" t="s">
        <v>5</v>
      </c>
      <c r="H5" s="1"/>
      <c r="I5" s="1"/>
      <c r="J5" s="1"/>
      <c r="K5" s="1"/>
      <c r="L5" s="1"/>
      <c r="M5" s="1"/>
    </row>
    <row r="6" spans="1:13" ht="18.5">
      <c r="A6" s="1" t="s">
        <v>6</v>
      </c>
      <c r="B6" s="13" t="s">
        <v>7</v>
      </c>
      <c r="C6" s="14">
        <v>409500</v>
      </c>
      <c r="D6" s="3"/>
      <c r="E6" s="1"/>
      <c r="F6" s="1"/>
      <c r="G6" s="1"/>
      <c r="H6" s="1"/>
      <c r="I6" s="1"/>
      <c r="J6" s="1"/>
      <c r="K6" s="1"/>
      <c r="L6" s="1"/>
      <c r="M6" s="1"/>
    </row>
    <row r="7" spans="1:13" ht="14.5">
      <c r="A7" s="1"/>
      <c r="B7" s="15"/>
      <c r="C7" s="16"/>
      <c r="D7" s="3"/>
      <c r="E7" s="1"/>
      <c r="F7" s="1"/>
      <c r="G7" s="1"/>
      <c r="H7" s="1"/>
      <c r="I7" s="1"/>
      <c r="J7" s="1"/>
      <c r="K7" s="1"/>
      <c r="L7" s="1"/>
      <c r="M7" s="1"/>
    </row>
    <row r="8" spans="1:13" ht="18.5">
      <c r="A8" s="1"/>
      <c r="B8" s="13" t="s">
        <v>8</v>
      </c>
      <c r="C8" s="17" t="s">
        <v>9</v>
      </c>
      <c r="D8" s="17" t="s">
        <v>10</v>
      </c>
      <c r="E8" s="62" t="s">
        <v>11</v>
      </c>
      <c r="F8" s="62" t="s">
        <v>12</v>
      </c>
      <c r="G8" s="62" t="s">
        <v>13</v>
      </c>
      <c r="H8" s="63" t="s">
        <v>14</v>
      </c>
      <c r="I8" s="62" t="s">
        <v>15</v>
      </c>
      <c r="J8" s="62" t="s">
        <v>16</v>
      </c>
      <c r="K8" s="62" t="s">
        <v>17</v>
      </c>
      <c r="L8" s="62" t="s">
        <v>18</v>
      </c>
      <c r="M8" s="64" t="s">
        <v>19</v>
      </c>
    </row>
    <row r="9" spans="1:13" ht="18.5">
      <c r="A9" s="1"/>
      <c r="B9" s="13"/>
      <c r="C9" s="18">
        <v>38511</v>
      </c>
      <c r="D9" s="18">
        <v>44511</v>
      </c>
      <c r="E9" s="19">
        <f t="shared" ref="E9:F9" si="0">C9+4000</f>
        <v>42511</v>
      </c>
      <c r="F9" s="19">
        <f t="shared" si="0"/>
        <v>48511</v>
      </c>
      <c r="G9" s="19">
        <f>E9+1500</f>
        <v>44011</v>
      </c>
      <c r="H9" s="20">
        <v>44500</v>
      </c>
      <c r="I9" s="19">
        <f>H9+1000</f>
        <v>45500</v>
      </c>
      <c r="J9" s="19">
        <f>H9+2250</f>
        <v>46750</v>
      </c>
      <c r="K9" s="19">
        <f>H9+2750</f>
        <v>47250</v>
      </c>
      <c r="L9" s="19">
        <f>H9+1450</f>
        <v>45950</v>
      </c>
      <c r="M9" s="81">
        <v>50000</v>
      </c>
    </row>
    <row r="10" spans="1:13" ht="14.5">
      <c r="A10" s="1"/>
      <c r="B10" s="15"/>
      <c r="C10" s="16"/>
      <c r="D10" s="21"/>
      <c r="E10" s="1"/>
      <c r="F10" s="1"/>
      <c r="G10" s="1"/>
      <c r="H10" s="1"/>
      <c r="I10" s="1"/>
      <c r="J10" s="1"/>
      <c r="K10" s="1"/>
      <c r="L10" s="1"/>
      <c r="M10" s="1"/>
    </row>
    <row r="11" spans="1:13" ht="18.5">
      <c r="A11" s="1"/>
      <c r="B11" s="13" t="s">
        <v>20</v>
      </c>
      <c r="C11" s="65" t="s">
        <v>21</v>
      </c>
      <c r="D11" s="65" t="s">
        <v>22</v>
      </c>
      <c r="E11" s="65" t="s">
        <v>23</v>
      </c>
      <c r="F11" s="1"/>
      <c r="G11" s="1"/>
      <c r="H11" s="1"/>
      <c r="I11" s="1"/>
      <c r="J11" s="1"/>
      <c r="K11" s="1"/>
      <c r="L11" s="1"/>
      <c r="M11" s="1"/>
    </row>
    <row r="12" spans="1:13" ht="18.5">
      <c r="A12" s="1"/>
      <c r="B12" s="22"/>
      <c r="C12" s="23">
        <v>57000</v>
      </c>
      <c r="D12" s="23">
        <v>57000</v>
      </c>
      <c r="E12" s="23">
        <v>59000</v>
      </c>
      <c r="F12" s="1"/>
      <c r="G12" s="1"/>
      <c r="H12" s="1"/>
      <c r="I12" s="1"/>
      <c r="J12" s="1"/>
      <c r="K12" s="1"/>
      <c r="L12" s="1"/>
      <c r="M12" s="1"/>
    </row>
    <row r="13" spans="1:13" ht="14.5">
      <c r="A13" s="1"/>
      <c r="B13" s="15"/>
      <c r="C13" s="16"/>
      <c r="D13" s="21"/>
      <c r="E13" s="1"/>
      <c r="F13" s="1"/>
      <c r="G13" s="1"/>
      <c r="H13" s="1"/>
      <c r="I13" s="1"/>
      <c r="J13" s="1"/>
      <c r="K13" s="1"/>
      <c r="L13" s="1"/>
      <c r="M13" s="1"/>
    </row>
    <row r="14" spans="1:13" ht="18.5">
      <c r="A14" s="1"/>
      <c r="B14" s="13" t="s">
        <v>24</v>
      </c>
      <c r="C14" s="65" t="s">
        <v>25</v>
      </c>
      <c r="D14" s="65" t="s">
        <v>21</v>
      </c>
      <c r="E14" s="65" t="s">
        <v>26</v>
      </c>
      <c r="F14" s="1"/>
      <c r="G14" s="1"/>
      <c r="H14" s="24" t="s">
        <v>27</v>
      </c>
      <c r="I14" s="3"/>
      <c r="J14" s="1"/>
      <c r="K14" s="1"/>
      <c r="L14" s="1"/>
      <c r="M14" s="1"/>
    </row>
    <row r="15" spans="1:13" ht="18.5">
      <c r="A15" s="1"/>
      <c r="B15" s="22"/>
      <c r="C15" s="23">
        <v>57000</v>
      </c>
      <c r="D15" s="23">
        <v>56075</v>
      </c>
      <c r="E15" s="23">
        <v>57000</v>
      </c>
      <c r="F15" s="1"/>
      <c r="G15" s="1"/>
      <c r="H15" s="3" t="s">
        <v>28</v>
      </c>
      <c r="I15" s="3" t="s">
        <v>29</v>
      </c>
      <c r="J15" s="1"/>
      <c r="K15" s="1"/>
      <c r="L15" s="1"/>
      <c r="M15" s="1"/>
    </row>
    <row r="16" spans="1:13" ht="14.5">
      <c r="A16" s="1"/>
      <c r="B16" s="15"/>
      <c r="C16" s="16"/>
      <c r="D16" s="21"/>
      <c r="E16" s="1"/>
      <c r="F16" s="1"/>
      <c r="G16" s="1"/>
      <c r="H16" s="3" t="s">
        <v>30</v>
      </c>
      <c r="I16" s="3" t="s">
        <v>29</v>
      </c>
      <c r="J16" s="1"/>
      <c r="K16" s="1"/>
      <c r="L16" s="1"/>
      <c r="M16" s="1"/>
    </row>
    <row r="17" spans="1:13" ht="18.5">
      <c r="A17" s="1"/>
      <c r="B17" s="13" t="s">
        <v>31</v>
      </c>
      <c r="C17" s="17" t="s">
        <v>32</v>
      </c>
      <c r="D17" s="62" t="s">
        <v>33</v>
      </c>
      <c r="E17" s="62" t="s">
        <v>34</v>
      </c>
      <c r="F17" s="1"/>
      <c r="G17" s="1"/>
      <c r="H17" s="3" t="s">
        <v>35</v>
      </c>
      <c r="I17" s="3" t="s">
        <v>29</v>
      </c>
      <c r="J17" s="1"/>
      <c r="K17" s="1"/>
      <c r="L17" s="1"/>
      <c r="M17" s="1"/>
    </row>
    <row r="18" spans="1:13" ht="18.5">
      <c r="A18" s="1"/>
      <c r="B18" s="13"/>
      <c r="C18" s="18">
        <v>54000</v>
      </c>
      <c r="D18" s="19">
        <v>61000</v>
      </c>
      <c r="E18" s="19">
        <v>59500</v>
      </c>
      <c r="F18" s="1"/>
      <c r="G18" s="1"/>
      <c r="H18" s="3" t="s">
        <v>36</v>
      </c>
      <c r="I18" s="3" t="s">
        <v>29</v>
      </c>
      <c r="J18" s="1"/>
      <c r="K18" s="1"/>
      <c r="L18" s="1"/>
      <c r="M18" s="1"/>
    </row>
    <row r="19" spans="1:13" ht="14.5">
      <c r="A19" s="1"/>
      <c r="B19" s="15"/>
      <c r="C19" s="16"/>
      <c r="D19" s="16"/>
      <c r="F19" s="1"/>
      <c r="G19" s="1"/>
      <c r="H19" s="3" t="s">
        <v>28</v>
      </c>
      <c r="I19" s="3" t="s">
        <v>37</v>
      </c>
      <c r="J19" s="1"/>
      <c r="K19" s="1"/>
      <c r="L19" s="1"/>
      <c r="M19" s="1"/>
    </row>
    <row r="20" spans="1:13" ht="18.5">
      <c r="A20" s="1"/>
      <c r="B20" s="13" t="s">
        <v>38</v>
      </c>
      <c r="C20" s="17" t="s">
        <v>39</v>
      </c>
      <c r="D20" s="63" t="s">
        <v>33</v>
      </c>
      <c r="E20" s="63" t="s">
        <v>40</v>
      </c>
      <c r="F20" s="63" t="s">
        <v>34</v>
      </c>
      <c r="G20" s="63" t="s">
        <v>41</v>
      </c>
      <c r="H20" s="3" t="s">
        <v>30</v>
      </c>
      <c r="I20" s="3" t="s">
        <v>37</v>
      </c>
      <c r="J20" s="1"/>
      <c r="K20" s="1"/>
      <c r="L20" s="1"/>
      <c r="M20" s="1"/>
    </row>
    <row r="21" spans="1:13" ht="18.5">
      <c r="A21" s="1"/>
      <c r="B21" s="13"/>
      <c r="C21" s="18">
        <v>52500</v>
      </c>
      <c r="D21" s="20">
        <v>59000</v>
      </c>
      <c r="E21" s="20">
        <v>55500</v>
      </c>
      <c r="F21" s="20">
        <v>58000</v>
      </c>
      <c r="G21" s="20">
        <v>58500</v>
      </c>
      <c r="H21" s="3" t="s">
        <v>35</v>
      </c>
      <c r="I21" s="3" t="s">
        <v>37</v>
      </c>
      <c r="J21" s="1"/>
      <c r="K21" s="1"/>
      <c r="L21" s="1"/>
      <c r="M21" s="1"/>
    </row>
    <row r="22" spans="1:13" ht="14.5">
      <c r="A22" s="1"/>
      <c r="B22" s="7"/>
      <c r="C22" s="3"/>
      <c r="D22" s="3"/>
      <c r="E22" s="1"/>
      <c r="F22" s="1"/>
      <c r="G22" s="1"/>
      <c r="H22" s="3" t="s">
        <v>36</v>
      </c>
      <c r="I22" s="3" t="s">
        <v>37</v>
      </c>
      <c r="J22" s="1"/>
      <c r="K22" s="1"/>
      <c r="L22" s="1"/>
      <c r="M22" s="1"/>
    </row>
    <row r="23" spans="1:13" ht="28.5">
      <c r="A23" s="1"/>
      <c r="B23" s="25" t="s">
        <v>42</v>
      </c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</row>
    <row r="24" spans="1:13" ht="18.5">
      <c r="A24" s="1"/>
      <c r="B24" s="26" t="s">
        <v>43</v>
      </c>
      <c r="C24" s="27" t="s">
        <v>44</v>
      </c>
      <c r="D24" s="3"/>
      <c r="E24" s="1"/>
      <c r="F24" s="1"/>
      <c r="G24" s="1"/>
      <c r="H24" s="1"/>
      <c r="I24" s="1"/>
      <c r="J24" s="1"/>
      <c r="K24" s="1"/>
      <c r="L24" s="1"/>
      <c r="M24" s="1"/>
    </row>
    <row r="25" spans="1:13" ht="18.5">
      <c r="A25" s="1"/>
      <c r="B25" s="71" t="s">
        <v>45</v>
      </c>
      <c r="C25" s="72" t="s">
        <v>46</v>
      </c>
      <c r="D25" s="72" t="s">
        <v>47</v>
      </c>
      <c r="H25" s="1"/>
      <c r="I25" s="1"/>
      <c r="J25" s="1"/>
      <c r="K25" s="1"/>
      <c r="L25" s="1"/>
      <c r="M25" s="1"/>
    </row>
    <row r="26" spans="1:13" ht="18.5">
      <c r="A26" s="1"/>
      <c r="B26" s="97" t="s">
        <v>48</v>
      </c>
      <c r="C26" s="73" t="s">
        <v>49</v>
      </c>
      <c r="D26" s="67">
        <v>6500</v>
      </c>
      <c r="H26" s="1"/>
      <c r="I26" s="1"/>
      <c r="J26" s="1"/>
      <c r="K26" s="1"/>
      <c r="L26" s="1"/>
      <c r="M26" s="1"/>
    </row>
    <row r="27" spans="1:13" ht="18.5">
      <c r="A27" s="1"/>
      <c r="B27" s="98"/>
      <c r="C27" s="73" t="s">
        <v>50</v>
      </c>
      <c r="D27" s="67">
        <v>6800</v>
      </c>
      <c r="H27" s="1"/>
      <c r="I27" s="1"/>
      <c r="J27" s="1"/>
      <c r="K27" s="1"/>
      <c r="L27" s="1"/>
      <c r="M27" s="1"/>
    </row>
    <row r="28" spans="1:13" ht="74">
      <c r="A28" s="1"/>
      <c r="B28" s="71" t="s">
        <v>51</v>
      </c>
      <c r="C28" s="74" t="s">
        <v>52</v>
      </c>
      <c r="D28" s="67">
        <v>7700</v>
      </c>
      <c r="H28" s="1"/>
      <c r="I28" s="1"/>
      <c r="J28" s="1"/>
      <c r="K28" s="1"/>
      <c r="L28" s="1"/>
      <c r="M28" s="1"/>
    </row>
    <row r="29" spans="1:13" ht="18.5">
      <c r="A29" s="1"/>
      <c r="B29" s="71" t="s">
        <v>53</v>
      </c>
      <c r="C29" s="73" t="s">
        <v>54</v>
      </c>
      <c r="D29" s="67">
        <v>9000</v>
      </c>
      <c r="H29" s="1"/>
      <c r="I29" s="1"/>
      <c r="J29" s="1"/>
      <c r="K29" s="1"/>
      <c r="L29" s="1"/>
      <c r="M29" s="1"/>
    </row>
    <row r="30" spans="1:13" ht="18.5">
      <c r="A30" s="1"/>
      <c r="B30" s="101" t="s">
        <v>55</v>
      </c>
      <c r="C30" s="73" t="s">
        <v>56</v>
      </c>
      <c r="D30" s="67">
        <v>7500</v>
      </c>
      <c r="H30" s="1"/>
      <c r="I30" s="1"/>
      <c r="J30" s="1"/>
      <c r="K30" s="1"/>
      <c r="L30" s="1"/>
      <c r="M30" s="1"/>
    </row>
    <row r="31" spans="1:13" ht="18.5">
      <c r="A31" s="1"/>
      <c r="B31" s="102"/>
      <c r="C31" s="73" t="s">
        <v>57</v>
      </c>
      <c r="D31" s="67">
        <v>7500</v>
      </c>
      <c r="H31" s="1"/>
      <c r="I31" s="1"/>
      <c r="J31" s="1"/>
      <c r="K31" s="1"/>
      <c r="L31" s="1"/>
      <c r="M31" s="1"/>
    </row>
    <row r="32" spans="1:13" ht="18.5">
      <c r="A32" s="1"/>
      <c r="B32" s="98"/>
      <c r="C32" s="73" t="s">
        <v>58</v>
      </c>
      <c r="D32" s="67">
        <v>8200</v>
      </c>
      <c r="H32" s="1"/>
      <c r="I32" s="1"/>
      <c r="J32" s="1"/>
      <c r="K32" s="1"/>
      <c r="L32" s="1"/>
      <c r="M32" s="1"/>
    </row>
    <row r="33" spans="1:13" ht="18.5">
      <c r="A33" s="1"/>
      <c r="B33" s="30"/>
      <c r="C33" s="31"/>
      <c r="D33" s="32"/>
      <c r="H33" s="1"/>
      <c r="I33" s="1"/>
      <c r="J33" s="1"/>
      <c r="K33" s="1"/>
      <c r="L33" s="1"/>
      <c r="M33" s="1"/>
    </row>
    <row r="34" spans="1:13" ht="18.5">
      <c r="A34" s="1"/>
      <c r="B34" s="101" t="s">
        <v>59</v>
      </c>
      <c r="C34" s="73" t="s">
        <v>56</v>
      </c>
      <c r="D34" s="67">
        <v>500</v>
      </c>
      <c r="H34" s="1"/>
      <c r="I34" s="1"/>
      <c r="J34" s="1"/>
      <c r="K34" s="1"/>
      <c r="L34" s="1"/>
      <c r="M34" s="1"/>
    </row>
    <row r="35" spans="1:13" ht="18.5">
      <c r="A35" s="1"/>
      <c r="B35" s="102"/>
      <c r="C35" s="73" t="s">
        <v>57</v>
      </c>
      <c r="D35" s="67">
        <v>500</v>
      </c>
      <c r="H35" s="1"/>
      <c r="I35" s="1"/>
      <c r="J35" s="1"/>
      <c r="K35" s="1"/>
      <c r="L35" s="1"/>
      <c r="M35" s="1"/>
    </row>
    <row r="36" spans="1:13" ht="18.5">
      <c r="A36" s="1"/>
      <c r="B36" s="98"/>
      <c r="C36" s="73" t="s">
        <v>58</v>
      </c>
      <c r="D36" s="67">
        <v>1000</v>
      </c>
      <c r="H36" s="1"/>
      <c r="I36" s="1"/>
      <c r="J36" s="1"/>
      <c r="K36" s="1"/>
      <c r="L36" s="1"/>
      <c r="M36" s="1"/>
    </row>
    <row r="37" spans="1:13" ht="18.5">
      <c r="A37" s="1"/>
      <c r="B37" s="97" t="s">
        <v>60</v>
      </c>
      <c r="C37" s="73" t="s">
        <v>61</v>
      </c>
      <c r="D37" s="67">
        <v>2500</v>
      </c>
      <c r="H37" s="1"/>
      <c r="I37" s="1"/>
      <c r="J37" s="1"/>
      <c r="K37" s="1"/>
      <c r="L37" s="1"/>
      <c r="M37" s="1"/>
    </row>
    <row r="38" spans="1:13" ht="18.5">
      <c r="A38" s="1"/>
      <c r="B38" s="98"/>
      <c r="C38" s="73" t="s">
        <v>62</v>
      </c>
      <c r="D38" s="67">
        <v>4000</v>
      </c>
      <c r="H38" s="1"/>
      <c r="I38" s="1"/>
      <c r="J38" s="1"/>
      <c r="K38" s="1"/>
      <c r="L38" s="1"/>
      <c r="M38" s="1"/>
    </row>
    <row r="39" spans="1:13" ht="18.5">
      <c r="A39" s="1"/>
      <c r="B39" s="97" t="s">
        <v>63</v>
      </c>
      <c r="C39" s="73" t="s">
        <v>64</v>
      </c>
      <c r="D39" s="67">
        <v>5500</v>
      </c>
      <c r="H39" s="33"/>
      <c r="I39" s="1"/>
      <c r="J39" s="1"/>
      <c r="K39" s="1"/>
      <c r="L39" s="1"/>
      <c r="M39" s="1"/>
    </row>
    <row r="40" spans="1:13" ht="18.5">
      <c r="A40" s="1"/>
      <c r="B40" s="98"/>
      <c r="C40" s="73" t="s">
        <v>65</v>
      </c>
      <c r="D40" s="67">
        <v>6500</v>
      </c>
      <c r="H40" s="1"/>
      <c r="I40" s="1"/>
      <c r="J40" s="1"/>
      <c r="K40" s="1"/>
      <c r="L40" s="1"/>
      <c r="M40" s="1"/>
    </row>
    <row r="41" spans="1:13" ht="18.5">
      <c r="A41" s="1"/>
      <c r="B41" s="34"/>
      <c r="C41" s="31"/>
      <c r="D41" s="32"/>
      <c r="H41" s="1"/>
      <c r="I41" s="1"/>
      <c r="J41" s="1"/>
      <c r="K41" s="1"/>
      <c r="L41" s="1"/>
      <c r="M41" s="1"/>
    </row>
    <row r="42" spans="1:13" ht="18.5">
      <c r="A42" s="1"/>
      <c r="B42" s="71" t="s">
        <v>66</v>
      </c>
      <c r="C42" s="73" t="s">
        <v>67</v>
      </c>
      <c r="D42" s="67">
        <v>9500</v>
      </c>
      <c r="H42" s="1"/>
      <c r="I42" s="1"/>
      <c r="J42" s="1"/>
      <c r="K42" s="1"/>
      <c r="L42" s="1"/>
      <c r="M42" s="1"/>
    </row>
    <row r="43" spans="1:13" ht="18.5">
      <c r="A43" s="1"/>
      <c r="B43" s="71" t="s">
        <v>68</v>
      </c>
      <c r="C43" s="73" t="s">
        <v>69</v>
      </c>
      <c r="D43" s="67">
        <v>10000</v>
      </c>
      <c r="H43" s="1"/>
      <c r="I43" s="1"/>
      <c r="J43" s="1"/>
      <c r="K43" s="1"/>
      <c r="L43" s="1"/>
      <c r="M43" s="1"/>
    </row>
    <row r="44" spans="1:13" ht="18.5">
      <c r="A44" s="1"/>
      <c r="B44" s="71" t="s">
        <v>70</v>
      </c>
      <c r="C44" s="73" t="s">
        <v>71</v>
      </c>
      <c r="D44" s="67">
        <v>10500</v>
      </c>
      <c r="H44" s="35"/>
      <c r="I44" s="1"/>
      <c r="J44" s="1"/>
      <c r="K44" s="1"/>
      <c r="L44" s="1"/>
      <c r="M44" s="1"/>
    </row>
    <row r="45" spans="1:13" ht="18.5">
      <c r="A45" s="1"/>
      <c r="B45" s="71" t="s">
        <v>72</v>
      </c>
      <c r="C45" s="73" t="s">
        <v>73</v>
      </c>
      <c r="D45" s="67">
        <v>14000</v>
      </c>
      <c r="H45" s="35"/>
      <c r="I45" s="1"/>
      <c r="J45" s="1"/>
      <c r="K45" s="1"/>
      <c r="L45" s="1"/>
      <c r="M45" s="1"/>
    </row>
    <row r="46" spans="1:13" ht="15.5">
      <c r="A46" s="1"/>
      <c r="B46" s="7"/>
      <c r="C46" s="3"/>
      <c r="D46" s="3"/>
      <c r="E46" s="1"/>
      <c r="F46" s="1"/>
      <c r="G46" s="1"/>
      <c r="H46" s="35"/>
      <c r="I46" s="36"/>
      <c r="J46" s="1"/>
      <c r="K46" s="1"/>
      <c r="L46" s="1"/>
      <c r="M46" s="1"/>
    </row>
    <row r="47" spans="1:13" ht="18.5">
      <c r="A47" s="1"/>
      <c r="B47" s="28" t="s">
        <v>74</v>
      </c>
      <c r="C47" s="29" t="s">
        <v>75</v>
      </c>
      <c r="D47" s="66">
        <v>9000</v>
      </c>
      <c r="E47" s="1"/>
      <c r="F47" s="1"/>
      <c r="G47" s="1"/>
      <c r="H47" s="35"/>
      <c r="I47" s="36"/>
      <c r="J47" s="1"/>
      <c r="K47" s="1"/>
      <c r="L47" s="1"/>
      <c r="M47" s="1"/>
    </row>
    <row r="48" spans="1:13" ht="18.5">
      <c r="A48" s="1"/>
      <c r="B48" s="28" t="s">
        <v>76</v>
      </c>
      <c r="C48" s="29" t="s">
        <v>77</v>
      </c>
      <c r="D48" s="66">
        <v>10000</v>
      </c>
      <c r="E48" s="1"/>
      <c r="F48" s="1"/>
      <c r="G48" s="1"/>
      <c r="H48" s="35"/>
      <c r="I48" s="36"/>
      <c r="J48" s="1"/>
      <c r="K48" s="1"/>
      <c r="L48" s="1"/>
      <c r="M48" s="1"/>
    </row>
    <row r="49" spans="1:26" ht="18.5">
      <c r="A49" s="1"/>
      <c r="B49" s="28" t="s">
        <v>78</v>
      </c>
      <c r="C49" s="29" t="s">
        <v>69</v>
      </c>
      <c r="D49" s="66">
        <v>13000</v>
      </c>
      <c r="E49" s="1"/>
      <c r="F49" s="1"/>
      <c r="G49" s="1"/>
      <c r="H49" s="35"/>
      <c r="I49" s="3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5">
      <c r="A50" s="1"/>
      <c r="B50" s="28" t="s">
        <v>79</v>
      </c>
      <c r="C50" s="29" t="s">
        <v>71</v>
      </c>
      <c r="D50" s="66">
        <v>15000</v>
      </c>
      <c r="E50" s="1"/>
      <c r="F50" s="1"/>
      <c r="G50" s="1"/>
      <c r="H50" s="35"/>
      <c r="I50" s="3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>
      <c r="A51" s="1"/>
      <c r="B51" s="28" t="s">
        <v>80</v>
      </c>
      <c r="C51" s="29" t="s">
        <v>73</v>
      </c>
      <c r="D51" s="66">
        <v>18500</v>
      </c>
      <c r="E51" s="1"/>
      <c r="F51" s="1"/>
      <c r="G51" s="1"/>
      <c r="H51" s="35"/>
      <c r="I51" s="3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7"/>
      <c r="C52" s="3"/>
      <c r="D52" s="3"/>
      <c r="E52" s="1"/>
      <c r="F52" s="1"/>
      <c r="G52" s="1"/>
      <c r="H52" s="35"/>
      <c r="I52" s="3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>
      <c r="A53" s="1"/>
      <c r="B53" s="71" t="s">
        <v>81</v>
      </c>
      <c r="C53" s="72" t="s">
        <v>46</v>
      </c>
      <c r="D53" s="72" t="s">
        <v>47</v>
      </c>
      <c r="E53" s="1"/>
      <c r="F53" s="1"/>
      <c r="G53" s="1"/>
      <c r="H53" s="35"/>
      <c r="I53" s="3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7.5" customHeight="1">
      <c r="A54" s="1"/>
      <c r="B54" s="71" t="s">
        <v>82</v>
      </c>
      <c r="C54" s="74" t="s">
        <v>83</v>
      </c>
      <c r="D54" s="67">
        <v>6300</v>
      </c>
      <c r="E54" s="1"/>
      <c r="F54" s="1"/>
      <c r="G54" s="1"/>
      <c r="H54" s="35"/>
      <c r="I54" s="3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5">
      <c r="A55" s="1"/>
      <c r="B55" s="71" t="s">
        <v>84</v>
      </c>
      <c r="C55" s="73" t="s">
        <v>85</v>
      </c>
      <c r="D55" s="67">
        <v>6800</v>
      </c>
      <c r="E55" s="1"/>
      <c r="F55" s="1"/>
      <c r="G55" s="1"/>
      <c r="H55" s="35"/>
      <c r="I55" s="3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5">
      <c r="A56" s="1"/>
      <c r="B56" s="71" t="s">
        <v>86</v>
      </c>
      <c r="C56" s="73" t="s">
        <v>87</v>
      </c>
      <c r="D56" s="67">
        <v>6800</v>
      </c>
      <c r="E56" s="1"/>
      <c r="F56" s="1"/>
      <c r="G56" s="1"/>
      <c r="H56" s="35"/>
      <c r="I56" s="3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5">
      <c r="A57" s="1"/>
      <c r="B57" s="71" t="s">
        <v>88</v>
      </c>
      <c r="C57" s="73" t="s">
        <v>89</v>
      </c>
      <c r="D57" s="67">
        <v>7800</v>
      </c>
      <c r="E57" s="1"/>
      <c r="F57" s="1"/>
      <c r="G57" s="1"/>
      <c r="H57" s="35"/>
      <c r="I57" s="3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5">
      <c r="A58" s="1"/>
      <c r="B58" s="71" t="s">
        <v>90</v>
      </c>
      <c r="C58" s="73" t="s">
        <v>91</v>
      </c>
      <c r="D58" s="67">
        <v>9300</v>
      </c>
      <c r="E58" s="1"/>
      <c r="F58" s="1"/>
      <c r="G58" s="1"/>
      <c r="H58" s="35"/>
      <c r="I58" s="3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>
      <c r="A59" s="1"/>
      <c r="B59" s="71" t="s">
        <v>92</v>
      </c>
      <c r="C59" s="73" t="s">
        <v>93</v>
      </c>
      <c r="D59" s="67">
        <v>7300</v>
      </c>
      <c r="E59" s="1"/>
      <c r="F59" s="1"/>
      <c r="G59" s="1"/>
      <c r="H59" s="35"/>
      <c r="I59" s="3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>
      <c r="A60" s="1"/>
      <c r="B60" s="71" t="s">
        <v>94</v>
      </c>
      <c r="C60" s="73" t="s">
        <v>95</v>
      </c>
      <c r="D60" s="67">
        <v>8300</v>
      </c>
      <c r="E60" s="1"/>
      <c r="F60" s="1"/>
      <c r="G60" s="1"/>
      <c r="H60" s="35"/>
      <c r="I60" s="3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>
      <c r="A61" s="1"/>
      <c r="B61" s="71" t="s">
        <v>96</v>
      </c>
      <c r="C61" s="73" t="s">
        <v>97</v>
      </c>
      <c r="D61" s="67">
        <v>9500</v>
      </c>
      <c r="E61" s="1"/>
      <c r="F61" s="1"/>
      <c r="G61" s="1"/>
      <c r="H61" s="35"/>
      <c r="I61" s="3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7"/>
      <c r="C62" s="3"/>
      <c r="D62" s="3"/>
      <c r="E62" s="1"/>
      <c r="F62" s="1"/>
      <c r="G62" s="1"/>
      <c r="H62" s="35"/>
      <c r="I62" s="3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7"/>
      <c r="C63" s="3"/>
      <c r="D63" s="3"/>
      <c r="E63" s="1"/>
      <c r="F63" s="1"/>
      <c r="G63" s="1"/>
      <c r="H63" s="35"/>
      <c r="I63" s="3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>
      <c r="A64" s="1"/>
      <c r="B64" s="71" t="s">
        <v>98</v>
      </c>
      <c r="C64" s="72" t="s">
        <v>46</v>
      </c>
      <c r="D64" s="72" t="s">
        <v>47</v>
      </c>
      <c r="E64" s="1"/>
      <c r="F64" s="1"/>
      <c r="G64" s="1"/>
      <c r="H64" s="35"/>
      <c r="I64" s="3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7">
      <c r="A65" s="1"/>
      <c r="B65" s="71" t="s">
        <v>82</v>
      </c>
      <c r="C65" s="74" t="s">
        <v>99</v>
      </c>
      <c r="D65" s="67">
        <v>6300</v>
      </c>
      <c r="E65" s="1"/>
      <c r="F65" s="1"/>
      <c r="G65" s="1"/>
      <c r="H65" s="35"/>
      <c r="I65" s="3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>
      <c r="A66" s="1"/>
      <c r="B66" s="71" t="s">
        <v>84</v>
      </c>
      <c r="C66" s="74" t="s">
        <v>100</v>
      </c>
      <c r="D66" s="67">
        <v>6800</v>
      </c>
      <c r="E66" s="1"/>
      <c r="F66" s="1"/>
      <c r="G66" s="1"/>
      <c r="H66" s="35"/>
      <c r="I66" s="3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>
      <c r="A67" s="1"/>
      <c r="B67" s="71" t="s">
        <v>86</v>
      </c>
      <c r="C67" s="74" t="s">
        <v>101</v>
      </c>
      <c r="D67" s="67">
        <v>7300</v>
      </c>
      <c r="E67" s="1"/>
      <c r="F67" s="1"/>
      <c r="G67" s="1"/>
      <c r="H67" s="35"/>
      <c r="I67" s="3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7"/>
      <c r="C68" s="3"/>
      <c r="D68" s="3"/>
      <c r="E68" s="1"/>
      <c r="F68" s="1"/>
      <c r="G68" s="1"/>
      <c r="H68" s="35"/>
      <c r="I68" s="3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7"/>
      <c r="C69" s="3"/>
      <c r="D69" s="3"/>
      <c r="E69" s="1"/>
      <c r="F69" s="1"/>
      <c r="G69" s="1"/>
      <c r="H69" s="33"/>
      <c r="I69" s="3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>
      <c r="A70" s="1"/>
      <c r="B70" s="71" t="s">
        <v>102</v>
      </c>
      <c r="C70" s="72" t="s">
        <v>47</v>
      </c>
      <c r="D70" s="3"/>
      <c r="E70" s="71" t="s">
        <v>103</v>
      </c>
      <c r="F70" s="72" t="s">
        <v>47</v>
      </c>
      <c r="G70" s="1"/>
      <c r="H70" s="68" t="s">
        <v>104</v>
      </c>
      <c r="I70" s="69" t="s">
        <v>47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>
      <c r="A71" s="1"/>
      <c r="B71" s="71" t="s">
        <v>105</v>
      </c>
      <c r="C71" s="73">
        <v>0</v>
      </c>
      <c r="D71" s="3"/>
      <c r="E71" s="71" t="s">
        <v>106</v>
      </c>
      <c r="F71" s="73">
        <v>7500</v>
      </c>
      <c r="G71" s="1"/>
      <c r="H71" s="68" t="s">
        <v>106</v>
      </c>
      <c r="I71" s="70">
        <v>10000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>
      <c r="A72" s="1"/>
      <c r="B72" s="71" t="s">
        <v>107</v>
      </c>
      <c r="C72" s="73">
        <v>800</v>
      </c>
      <c r="D72" s="3"/>
      <c r="E72" s="71" t="s">
        <v>108</v>
      </c>
      <c r="F72" s="73">
        <v>7500</v>
      </c>
      <c r="G72" s="1"/>
      <c r="H72" s="68" t="s">
        <v>108</v>
      </c>
      <c r="I72" s="70">
        <v>10000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>
      <c r="A73" s="1"/>
      <c r="B73" s="71" t="s">
        <v>109</v>
      </c>
      <c r="C73" s="73">
        <v>2000</v>
      </c>
      <c r="D73" s="3"/>
      <c r="E73" s="71" t="s">
        <v>110</v>
      </c>
      <c r="F73" s="73">
        <v>7500</v>
      </c>
      <c r="G73" s="1"/>
      <c r="H73" s="68" t="s">
        <v>110</v>
      </c>
      <c r="I73" s="70">
        <v>10000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>
      <c r="A74" s="1"/>
      <c r="B74" s="71" t="s">
        <v>111</v>
      </c>
      <c r="C74" s="73">
        <v>500</v>
      </c>
      <c r="D74" s="3"/>
      <c r="E74" s="71" t="s">
        <v>112</v>
      </c>
      <c r="F74" s="73">
        <v>7500</v>
      </c>
      <c r="G74" s="1"/>
      <c r="H74" s="68" t="s">
        <v>113</v>
      </c>
      <c r="I74" s="70">
        <v>9000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>
      <c r="A75" s="1"/>
      <c r="B75" s="71" t="s">
        <v>114</v>
      </c>
      <c r="C75" s="73">
        <v>1600</v>
      </c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>
      <c r="A76" s="1"/>
      <c r="B76" s="71" t="s">
        <v>115</v>
      </c>
      <c r="C76" s="73">
        <v>2500</v>
      </c>
      <c r="D76" s="3"/>
      <c r="E76" s="71" t="s">
        <v>116</v>
      </c>
      <c r="F76" s="72" t="s">
        <v>47</v>
      </c>
      <c r="G76" s="1"/>
      <c r="H76" s="68" t="s">
        <v>117</v>
      </c>
      <c r="I76" s="69" t="s">
        <v>47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>
      <c r="A77" s="1"/>
      <c r="B77" s="71" t="s">
        <v>118</v>
      </c>
      <c r="C77" s="73">
        <v>4500</v>
      </c>
      <c r="D77" s="3"/>
      <c r="E77" s="71" t="s">
        <v>119</v>
      </c>
      <c r="F77" s="73">
        <v>7500</v>
      </c>
      <c r="G77" s="1"/>
      <c r="H77" s="68" t="s">
        <v>113</v>
      </c>
      <c r="I77" s="70">
        <v>17500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>
      <c r="A78" s="1"/>
      <c r="B78" s="71" t="s">
        <v>120</v>
      </c>
      <c r="C78" s="73">
        <v>4000</v>
      </c>
      <c r="D78" s="3"/>
      <c r="E78" s="71" t="s">
        <v>121</v>
      </c>
      <c r="F78" s="73" t="s">
        <v>122</v>
      </c>
      <c r="G78" s="1"/>
      <c r="H78" s="68" t="s">
        <v>108</v>
      </c>
      <c r="I78" s="70">
        <v>17500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>
      <c r="A79" s="1"/>
      <c r="B79" s="71" t="s">
        <v>123</v>
      </c>
      <c r="C79" s="73">
        <v>5500</v>
      </c>
      <c r="D79" s="3"/>
      <c r="E79" s="71" t="s">
        <v>124</v>
      </c>
      <c r="F79" s="73">
        <v>7500</v>
      </c>
      <c r="G79" s="1"/>
      <c r="H79" s="68" t="s">
        <v>110</v>
      </c>
      <c r="I79" s="70">
        <v>17500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>
      <c r="A80" s="1"/>
      <c r="B80" s="71" t="s">
        <v>125</v>
      </c>
      <c r="C80" s="73">
        <v>7000</v>
      </c>
      <c r="D80" s="3"/>
      <c r="E80" s="71" t="s">
        <v>126</v>
      </c>
      <c r="F80" s="73">
        <v>7500</v>
      </c>
      <c r="G80" s="1"/>
      <c r="H80" s="68" t="s">
        <v>127</v>
      </c>
      <c r="I80" s="70">
        <v>21500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>
      <c r="A81" s="1"/>
      <c r="B81" s="71" t="s">
        <v>128</v>
      </c>
      <c r="C81" s="73">
        <v>10000</v>
      </c>
      <c r="D81" s="3"/>
      <c r="E81" s="71" t="s">
        <v>129</v>
      </c>
      <c r="F81" s="73">
        <v>7500</v>
      </c>
      <c r="G81" s="1"/>
      <c r="H81" s="68" t="s">
        <v>130</v>
      </c>
      <c r="I81" s="70">
        <v>21500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>
      <c r="A82" s="1"/>
      <c r="B82" s="71" t="s">
        <v>106</v>
      </c>
      <c r="C82" s="73">
        <v>1200</v>
      </c>
      <c r="D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>
      <c r="A83" s="1"/>
      <c r="B83" s="71" t="s">
        <v>108</v>
      </c>
      <c r="C83" s="73">
        <v>1800</v>
      </c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>
      <c r="A84" s="1"/>
      <c r="B84" s="71" t="s">
        <v>110</v>
      </c>
      <c r="C84" s="73">
        <v>1800</v>
      </c>
      <c r="D84" s="3"/>
      <c r="E84" s="68" t="s">
        <v>131</v>
      </c>
      <c r="F84" s="69" t="s">
        <v>47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>
      <c r="A85" s="1"/>
      <c r="B85" s="71" t="s">
        <v>132</v>
      </c>
      <c r="C85" s="73">
        <v>1800</v>
      </c>
      <c r="D85" s="3"/>
      <c r="E85" s="68" t="s">
        <v>133</v>
      </c>
      <c r="F85" s="70">
        <v>7500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>
      <c r="A86" s="1"/>
      <c r="B86" s="71" t="s">
        <v>134</v>
      </c>
      <c r="C86" s="73">
        <v>5000</v>
      </c>
      <c r="D86" s="3"/>
      <c r="E86" s="68" t="s">
        <v>121</v>
      </c>
      <c r="F86" s="70" t="s">
        <v>122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>
      <c r="A87" s="1"/>
      <c r="B87" s="71" t="s">
        <v>135</v>
      </c>
      <c r="C87" s="73">
        <v>7500</v>
      </c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7"/>
      <c r="C88" s="3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"/>
      <c r="B89" s="7"/>
      <c r="C89" s="3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>
      <c r="A90" s="1"/>
      <c r="B90" s="71" t="s">
        <v>136</v>
      </c>
      <c r="C90" s="72" t="s">
        <v>47</v>
      </c>
      <c r="D90" s="3"/>
      <c r="E90" s="68" t="s">
        <v>137</v>
      </c>
      <c r="F90" s="69" t="s">
        <v>47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>
      <c r="A91" s="1"/>
      <c r="B91" s="71" t="s">
        <v>119</v>
      </c>
      <c r="C91" s="73">
        <v>300</v>
      </c>
      <c r="D91" s="3"/>
      <c r="E91" s="68" t="s">
        <v>119</v>
      </c>
      <c r="F91" s="70">
        <v>9500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>
      <c r="A92" s="1"/>
      <c r="B92" s="71" t="s">
        <v>121</v>
      </c>
      <c r="C92" s="73">
        <v>300</v>
      </c>
      <c r="D92" s="3"/>
      <c r="E92" s="68" t="s">
        <v>121</v>
      </c>
      <c r="F92" s="70" t="s">
        <v>122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>
      <c r="A93" s="1"/>
      <c r="B93" s="71" t="s">
        <v>124</v>
      </c>
      <c r="C93" s="73">
        <v>3500</v>
      </c>
      <c r="D93" s="3"/>
      <c r="E93" s="68" t="s">
        <v>124</v>
      </c>
      <c r="F93" s="70">
        <v>10500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>
      <c r="A94" s="1"/>
      <c r="B94" s="71" t="s">
        <v>126</v>
      </c>
      <c r="C94" s="73">
        <v>1500</v>
      </c>
      <c r="D94" s="3"/>
      <c r="E94" s="68" t="s">
        <v>126</v>
      </c>
      <c r="F94" s="70">
        <v>9500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>
      <c r="A95" s="1"/>
      <c r="B95" s="71" t="s">
        <v>138</v>
      </c>
      <c r="C95" s="73">
        <v>4000</v>
      </c>
      <c r="D95" s="3"/>
      <c r="E95" s="68" t="s">
        <v>138</v>
      </c>
      <c r="F95" s="70" t="s">
        <v>122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>
      <c r="A96" s="1"/>
      <c r="B96" s="71" t="s">
        <v>129</v>
      </c>
      <c r="C96" s="73">
        <v>2500</v>
      </c>
      <c r="D96" s="3"/>
      <c r="E96" s="68" t="s">
        <v>129</v>
      </c>
      <c r="F96" s="70">
        <v>10500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>
      <c r="A97" s="1"/>
      <c r="B97" s="71" t="s">
        <v>139</v>
      </c>
      <c r="C97" s="73">
        <v>4500</v>
      </c>
      <c r="D97" s="3"/>
      <c r="E97" s="68" t="s">
        <v>139</v>
      </c>
      <c r="F97" s="70">
        <v>12500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>
      <c r="A98" s="1"/>
      <c r="B98" s="71" t="s">
        <v>140</v>
      </c>
      <c r="C98" s="73">
        <v>6000</v>
      </c>
      <c r="D98" s="3"/>
      <c r="E98" s="68" t="s">
        <v>140</v>
      </c>
      <c r="F98" s="70">
        <v>14500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"/>
      <c r="B99" s="7"/>
      <c r="C99" s="3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7"/>
      <c r="C100" s="3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>
      <c r="A101" s="1"/>
      <c r="B101" s="82" t="s">
        <v>141</v>
      </c>
      <c r="C101" s="83" t="s">
        <v>142</v>
      </c>
      <c r="D101" s="83" t="s">
        <v>143</v>
      </c>
      <c r="E101" s="83" t="s">
        <v>144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>
      <c r="A102" s="1"/>
      <c r="B102" s="84" t="s">
        <v>145</v>
      </c>
      <c r="C102" s="85">
        <v>0</v>
      </c>
      <c r="D102" s="85">
        <v>0</v>
      </c>
      <c r="E102" s="85"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>
      <c r="A103" s="1"/>
      <c r="B103" s="84" t="s">
        <v>146</v>
      </c>
      <c r="C103" s="85">
        <v>0</v>
      </c>
      <c r="D103" s="85">
        <v>1000</v>
      </c>
      <c r="E103" s="85">
        <v>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>
      <c r="A104" s="1"/>
      <c r="B104" s="84" t="s">
        <v>147</v>
      </c>
      <c r="C104" s="85">
        <v>500</v>
      </c>
      <c r="D104" s="85">
        <v>1500</v>
      </c>
      <c r="E104" s="85">
        <v>1000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>
      <c r="A105" s="1"/>
      <c r="B105" s="84" t="s">
        <v>148</v>
      </c>
      <c r="C105" s="85">
        <v>500</v>
      </c>
      <c r="D105" s="85">
        <v>2000</v>
      </c>
      <c r="E105" s="85">
        <v>2500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>
      <c r="A106" s="1"/>
      <c r="B106" s="84" t="s">
        <v>149</v>
      </c>
      <c r="C106" s="85">
        <v>2000</v>
      </c>
      <c r="D106" s="85">
        <v>4500</v>
      </c>
      <c r="E106" s="85">
        <v>3500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>
      <c r="A107" s="1"/>
      <c r="B107" s="84" t="s">
        <v>150</v>
      </c>
      <c r="C107" s="85">
        <v>0</v>
      </c>
      <c r="D107" s="85">
        <v>2000</v>
      </c>
      <c r="E107" s="85"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>
      <c r="A108" s="1"/>
      <c r="B108" s="7"/>
      <c r="C108" s="3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>
      <c r="A109" s="1"/>
      <c r="B109" s="7"/>
      <c r="C109" s="3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>
      <c r="A110" s="1"/>
      <c r="B110" s="75" t="s">
        <v>151</v>
      </c>
      <c r="C110" s="76" t="s">
        <v>47</v>
      </c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>
      <c r="A111" s="1"/>
      <c r="B111" s="77" t="s">
        <v>152</v>
      </c>
      <c r="C111" s="78">
        <v>0</v>
      </c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>
      <c r="A112" s="1"/>
      <c r="B112" s="77" t="s">
        <v>153</v>
      </c>
      <c r="C112" s="78">
        <v>0</v>
      </c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>
      <c r="A113" s="1"/>
      <c r="B113" s="77" t="s">
        <v>154</v>
      </c>
      <c r="C113" s="78">
        <v>1000</v>
      </c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>
      <c r="A114" s="1"/>
      <c r="B114" s="77" t="s">
        <v>155</v>
      </c>
      <c r="C114" s="78">
        <v>3000</v>
      </c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>
      <c r="A115" s="1"/>
      <c r="B115" s="77" t="s">
        <v>156</v>
      </c>
      <c r="C115" s="78">
        <v>4000</v>
      </c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>
      <c r="A116" s="1"/>
      <c r="B116" s="7"/>
      <c r="C116" s="3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>
      <c r="A117" s="1"/>
      <c r="B117" s="7"/>
      <c r="C117" s="3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>
      <c r="A118" s="1"/>
      <c r="B118" s="75" t="s">
        <v>157</v>
      </c>
      <c r="C118" s="76" t="s">
        <v>47</v>
      </c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>
      <c r="A119" s="1"/>
      <c r="B119" s="77" t="s">
        <v>158</v>
      </c>
      <c r="C119" s="78">
        <v>0</v>
      </c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>
      <c r="A120" s="1"/>
      <c r="B120" s="77" t="s">
        <v>159</v>
      </c>
      <c r="C120" s="78">
        <v>3000</v>
      </c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>
      <c r="A121" s="1"/>
      <c r="B121" s="77" t="s">
        <v>160</v>
      </c>
      <c r="C121" s="78">
        <v>3000</v>
      </c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>
      <c r="A122" s="1"/>
      <c r="B122" s="77" t="s">
        <v>161</v>
      </c>
      <c r="C122" s="78">
        <v>23000</v>
      </c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>
      <c r="A123" s="1"/>
      <c r="B123" s="77" t="s">
        <v>162</v>
      </c>
      <c r="C123" s="78">
        <v>28000</v>
      </c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>
      <c r="A124" s="1"/>
      <c r="B124" s="77" t="s">
        <v>163</v>
      </c>
      <c r="C124" s="78">
        <v>8000</v>
      </c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8.5">
      <c r="A125" s="1"/>
      <c r="B125" s="25"/>
      <c r="C125" s="3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8.5">
      <c r="A126" s="1"/>
      <c r="B126" s="25"/>
      <c r="C126" s="3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>
      <c r="A127" s="1"/>
      <c r="B127" s="25" t="s">
        <v>164</v>
      </c>
      <c r="C127" s="3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>
      <c r="A128" s="1"/>
      <c r="B128" s="7"/>
      <c r="C128" s="3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>
      <c r="A129" s="1"/>
      <c r="B129" s="28" t="s">
        <v>165</v>
      </c>
      <c r="C129" s="3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>
      <c r="A130" s="1"/>
      <c r="B130" s="28" t="s">
        <v>29</v>
      </c>
      <c r="C130" s="29">
        <v>0</v>
      </c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>
      <c r="A131" s="1"/>
      <c r="B131" s="28" t="s">
        <v>37</v>
      </c>
      <c r="C131" s="29">
        <v>3500</v>
      </c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>
      <c r="A132" s="1"/>
      <c r="B132" s="7"/>
      <c r="C132" s="3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>
      <c r="A133" s="1"/>
      <c r="B133" s="28" t="s">
        <v>166</v>
      </c>
      <c r="C133" s="3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>
      <c r="A134" s="1"/>
      <c r="B134" s="28" t="s">
        <v>167</v>
      </c>
      <c r="C134" s="29">
        <v>500</v>
      </c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>
      <c r="A135" s="1"/>
      <c r="B135" s="7"/>
      <c r="C135" s="3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>
      <c r="A136" s="1"/>
      <c r="B136" s="28" t="s">
        <v>168</v>
      </c>
      <c r="C136" s="3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>
      <c r="A137" s="1"/>
      <c r="B137" s="28" t="s">
        <v>167</v>
      </c>
      <c r="C137" s="29">
        <v>500</v>
      </c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>
      <c r="A138" s="1"/>
      <c r="B138" s="7"/>
      <c r="C138" s="3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>
      <c r="A139" s="1"/>
      <c r="B139" s="71" t="s">
        <v>169</v>
      </c>
      <c r="C139" s="3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>
      <c r="A140" s="1"/>
      <c r="B140" s="71" t="s">
        <v>29</v>
      </c>
      <c r="C140" s="73">
        <v>0</v>
      </c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>
      <c r="A141" s="1"/>
      <c r="B141" s="71" t="s">
        <v>37</v>
      </c>
      <c r="C141" s="73">
        <v>2000</v>
      </c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>
      <c r="A142" s="1"/>
      <c r="B142" s="7"/>
      <c r="C142" s="3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>
      <c r="A143" s="1"/>
      <c r="B143" s="71" t="s">
        <v>170</v>
      </c>
      <c r="C143" s="3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>
      <c r="A144" s="1"/>
      <c r="B144" s="71" t="s">
        <v>29</v>
      </c>
      <c r="C144" s="73">
        <v>0</v>
      </c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>
      <c r="A145" s="1"/>
      <c r="B145" s="71" t="s">
        <v>37</v>
      </c>
      <c r="C145" s="73">
        <v>3500</v>
      </c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>
      <c r="A146" s="1"/>
      <c r="B146" s="7"/>
      <c r="C146" s="3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>
      <c r="A147" s="1"/>
      <c r="B147" s="75" t="s">
        <v>171</v>
      </c>
      <c r="C147" s="37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>
      <c r="A148" s="1"/>
      <c r="B148" s="79" t="s">
        <v>167</v>
      </c>
      <c r="C148" s="78">
        <v>4000</v>
      </c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>
      <c r="A149" s="1"/>
      <c r="B149" s="79" t="s">
        <v>172</v>
      </c>
      <c r="C149" s="78">
        <v>0</v>
      </c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>
      <c r="A150" s="1"/>
      <c r="B150" s="79" t="s">
        <v>173</v>
      </c>
      <c r="C150" s="78">
        <v>2000</v>
      </c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>
      <c r="A151" s="1"/>
      <c r="B151" s="7"/>
      <c r="C151" s="3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>
      <c r="A152" s="1"/>
      <c r="B152" s="75" t="s">
        <v>174</v>
      </c>
      <c r="C152" s="37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>
      <c r="A153" s="1"/>
      <c r="B153" s="79" t="s">
        <v>175</v>
      </c>
      <c r="C153" s="78">
        <v>3000</v>
      </c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>
      <c r="A154" s="1"/>
      <c r="B154" s="79" t="s">
        <v>167</v>
      </c>
      <c r="C154" s="78">
        <v>35000</v>
      </c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>
      <c r="A155" s="1"/>
      <c r="B155" s="80">
        <v>5.6</v>
      </c>
      <c r="C155" s="78">
        <v>0</v>
      </c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>
      <c r="A156" s="1"/>
      <c r="B156" s="80">
        <v>6.8</v>
      </c>
      <c r="C156" s="78">
        <v>6000</v>
      </c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>
      <c r="A157" s="1"/>
      <c r="B157" s="80">
        <v>8.8000000000000007</v>
      </c>
      <c r="C157" s="78">
        <v>35000</v>
      </c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>
      <c r="A158" s="1"/>
      <c r="B158" s="7"/>
      <c r="C158" s="3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>
      <c r="A159" s="1"/>
      <c r="B159" s="75" t="s">
        <v>176</v>
      </c>
      <c r="C159" s="37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>
      <c r="A160" s="1"/>
      <c r="B160" s="79" t="s">
        <v>167</v>
      </c>
      <c r="C160" s="78">
        <v>45000</v>
      </c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>
      <c r="A161" s="1"/>
      <c r="B161" s="80">
        <v>5.6</v>
      </c>
      <c r="C161" s="78">
        <v>0</v>
      </c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>
      <c r="A162" s="1"/>
      <c r="B162" s="80">
        <v>8.8000000000000007</v>
      </c>
      <c r="C162" s="78">
        <v>35000</v>
      </c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>
      <c r="A163" s="1"/>
      <c r="B163" s="7"/>
      <c r="C163" s="3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>
      <c r="A164" s="1"/>
      <c r="B164" s="7"/>
      <c r="C164" s="3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>
      <c r="A165" s="1"/>
      <c r="B165" s="7"/>
      <c r="C165" s="3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>
      <c r="A166" s="1"/>
      <c r="B166" s="7"/>
      <c r="C166" s="3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>
      <c r="A167" s="1"/>
      <c r="B167" s="7"/>
      <c r="C167" s="3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>
      <c r="A168" s="1"/>
      <c r="B168" s="7"/>
      <c r="C168" s="3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>
      <c r="A169" s="1"/>
      <c r="B169" s="7"/>
      <c r="C169" s="3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>
      <c r="A170" s="1"/>
      <c r="B170" s="7"/>
      <c r="C170" s="3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>
      <c r="A171" s="1"/>
      <c r="B171" s="7"/>
      <c r="C171" s="3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>
      <c r="A172" s="1"/>
      <c r="B172" s="7"/>
      <c r="C172" s="3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>
      <c r="A173" s="1"/>
      <c r="B173" s="7"/>
      <c r="C173" s="3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>
      <c r="A174" s="1"/>
      <c r="B174" s="7"/>
      <c r="C174" s="3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>
      <c r="A175" s="1"/>
      <c r="B175" s="7"/>
      <c r="C175" s="3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>
      <c r="A176" s="1"/>
      <c r="B176" s="7"/>
      <c r="C176" s="3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>
      <c r="A177" s="1"/>
      <c r="B177" s="7"/>
      <c r="C177" s="3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>
      <c r="A178" s="1"/>
      <c r="B178" s="7"/>
      <c r="C178" s="3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>
      <c r="A179" s="1"/>
      <c r="B179" s="7"/>
      <c r="C179" s="3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>
      <c r="A180" s="1"/>
      <c r="B180" s="7"/>
      <c r="C180" s="3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>
      <c r="A181" s="1"/>
      <c r="B181" s="7"/>
      <c r="C181" s="3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>
      <c r="A182" s="1"/>
      <c r="B182" s="7"/>
      <c r="C182" s="3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>
      <c r="A183" s="1"/>
      <c r="B183" s="7"/>
      <c r="C183" s="3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>
      <c r="A184" s="1"/>
      <c r="B184" s="7"/>
      <c r="C184" s="3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>
      <c r="A185" s="1"/>
      <c r="B185" s="7"/>
      <c r="C185" s="3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>
      <c r="A186" s="1"/>
      <c r="B186" s="7"/>
      <c r="C186" s="3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>
      <c r="A187" s="1"/>
      <c r="B187" s="7"/>
      <c r="C187" s="3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>
      <c r="A188" s="1"/>
      <c r="B188" s="7"/>
      <c r="C188" s="3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>
      <c r="A189" s="1"/>
      <c r="B189" s="7"/>
      <c r="C189" s="3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>
      <c r="A190" s="1"/>
      <c r="B190" s="7"/>
      <c r="C190" s="3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>
      <c r="A191" s="1"/>
      <c r="B191" s="7"/>
      <c r="C191" s="3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>
      <c r="A192" s="1"/>
      <c r="B192" s="7"/>
      <c r="C192" s="3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>
      <c r="A193" s="1"/>
      <c r="B193" s="7"/>
      <c r="C193" s="3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>
      <c r="A194" s="1"/>
      <c r="B194" s="7"/>
      <c r="C194" s="3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>
      <c r="A195" s="1"/>
      <c r="B195" s="7"/>
      <c r="C195" s="3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>
      <c r="A196" s="1"/>
      <c r="B196" s="7"/>
      <c r="C196" s="3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>
      <c r="A197" s="1"/>
      <c r="B197" s="7"/>
      <c r="C197" s="3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>
      <c r="A198" s="1"/>
      <c r="B198" s="7"/>
      <c r="C198" s="3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>
      <c r="A199" s="1"/>
      <c r="B199" s="7"/>
      <c r="C199" s="3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>
      <c r="A200" s="1"/>
      <c r="B200" s="7"/>
      <c r="C200" s="3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>
      <c r="A201" s="1"/>
      <c r="B201" s="7"/>
      <c r="C201" s="3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>
      <c r="A202" s="1"/>
      <c r="B202" s="7"/>
      <c r="C202" s="3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>
      <c r="A203" s="1"/>
      <c r="B203" s="7"/>
      <c r="C203" s="3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>
      <c r="A204" s="1"/>
      <c r="B204" s="7"/>
      <c r="C204" s="3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>
      <c r="A205" s="1"/>
      <c r="B205" s="7"/>
      <c r="C205" s="3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>
      <c r="A206" s="1"/>
      <c r="B206" s="7"/>
      <c r="C206" s="3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>
      <c r="A207" s="1"/>
      <c r="B207" s="7"/>
      <c r="C207" s="3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>
      <c r="A208" s="1"/>
      <c r="B208" s="7"/>
      <c r="C208" s="3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>
      <c r="A209" s="1"/>
      <c r="B209" s="7"/>
      <c r="C209" s="3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>
      <c r="A210" s="1"/>
      <c r="B210" s="7"/>
      <c r="C210" s="3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>
      <c r="A211" s="1"/>
      <c r="B211" s="7"/>
      <c r="C211" s="3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>
      <c r="A212" s="1"/>
      <c r="B212" s="7"/>
      <c r="C212" s="3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>
      <c r="A213" s="1"/>
      <c r="B213" s="7"/>
      <c r="C213" s="3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>
      <c r="A214" s="1"/>
      <c r="B214" s="7"/>
      <c r="C214" s="3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>
      <c r="A215" s="1"/>
      <c r="B215" s="7"/>
      <c r="C215" s="3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>
      <c r="A216" s="1"/>
      <c r="B216" s="7"/>
      <c r="C216" s="3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>
      <c r="A217" s="1"/>
      <c r="B217" s="7"/>
      <c r="C217" s="3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>
      <c r="A218" s="1"/>
      <c r="B218" s="7"/>
      <c r="C218" s="3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>
      <c r="A219" s="1"/>
      <c r="B219" s="7"/>
      <c r="C219" s="3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>
      <c r="A220" s="1"/>
      <c r="B220" s="7"/>
      <c r="C220" s="3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>
      <c r="A221" s="1"/>
      <c r="B221" s="7"/>
      <c r="C221" s="3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>
      <c r="A222" s="1"/>
      <c r="B222" s="7"/>
      <c r="C222" s="3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>
      <c r="A223" s="1"/>
      <c r="B223" s="7"/>
      <c r="C223" s="3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>
      <c r="A224" s="1"/>
      <c r="B224" s="7"/>
      <c r="C224" s="3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>
      <c r="A225" s="1"/>
      <c r="B225" s="7"/>
      <c r="C225" s="3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>
      <c r="A226" s="1"/>
      <c r="B226" s="7"/>
      <c r="C226" s="3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>
      <c r="A227" s="1"/>
      <c r="B227" s="7"/>
      <c r="C227" s="3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>
      <c r="A228" s="1"/>
      <c r="B228" s="7"/>
      <c r="C228" s="3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>
      <c r="A229" s="1"/>
      <c r="B229" s="7"/>
      <c r="C229" s="3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>
      <c r="A230" s="1"/>
      <c r="B230" s="7"/>
      <c r="C230" s="3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>
      <c r="A231" s="1"/>
      <c r="B231" s="7"/>
      <c r="C231" s="3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>
      <c r="A232" s="1"/>
      <c r="B232" s="7"/>
      <c r="C232" s="3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>
      <c r="A233" s="1"/>
      <c r="B233" s="7"/>
      <c r="C233" s="3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>
      <c r="A234" s="1"/>
      <c r="B234" s="7"/>
      <c r="C234" s="3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>
      <c r="A235" s="1"/>
      <c r="B235" s="7"/>
      <c r="C235" s="3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>
      <c r="A236" s="1"/>
      <c r="B236" s="7"/>
      <c r="C236" s="3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>
      <c r="A237" s="1"/>
      <c r="B237" s="7"/>
      <c r="C237" s="3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>
      <c r="A238" s="1"/>
      <c r="B238" s="7"/>
      <c r="C238" s="3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>
      <c r="A239" s="1"/>
      <c r="B239" s="7"/>
      <c r="C239" s="3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>
      <c r="A240" s="1"/>
      <c r="B240" s="7"/>
      <c r="C240" s="3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>
      <c r="A241" s="1"/>
      <c r="B241" s="7"/>
      <c r="C241" s="3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>
      <c r="A242" s="1"/>
      <c r="B242" s="7"/>
      <c r="C242" s="3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>
      <c r="A243" s="1"/>
      <c r="B243" s="7"/>
      <c r="C243" s="3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>
      <c r="A244" s="1"/>
      <c r="B244" s="7"/>
      <c r="C244" s="3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>
      <c r="A245" s="1"/>
      <c r="B245" s="7"/>
      <c r="C245" s="3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>
      <c r="A246" s="1"/>
      <c r="B246" s="7"/>
      <c r="C246" s="3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>
      <c r="A247" s="1"/>
      <c r="B247" s="7"/>
      <c r="C247" s="3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>
      <c r="A248" s="1"/>
      <c r="B248" s="7"/>
      <c r="C248" s="3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>
      <c r="A249" s="1"/>
      <c r="B249" s="7"/>
      <c r="C249" s="3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>
      <c r="A250" s="1"/>
      <c r="B250" s="7"/>
      <c r="C250" s="3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>
      <c r="A251" s="1"/>
      <c r="B251" s="7"/>
      <c r="C251" s="3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>
      <c r="A252" s="1"/>
      <c r="B252" s="7"/>
      <c r="C252" s="3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>
      <c r="A253" s="1"/>
      <c r="B253" s="7"/>
      <c r="C253" s="3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>
      <c r="A254" s="1"/>
      <c r="B254" s="7"/>
      <c r="C254" s="3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>
      <c r="A255" s="1"/>
      <c r="B255" s="7"/>
      <c r="C255" s="3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>
      <c r="A256" s="1"/>
      <c r="B256" s="7"/>
      <c r="C256" s="3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>
      <c r="A257" s="1"/>
      <c r="B257" s="7"/>
      <c r="C257" s="3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>
      <c r="A258" s="1"/>
      <c r="B258" s="7"/>
      <c r="C258" s="3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>
      <c r="A259" s="1"/>
      <c r="B259" s="7"/>
      <c r="C259" s="3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>
      <c r="A260" s="1"/>
      <c r="B260" s="7"/>
      <c r="C260" s="3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>
      <c r="A261" s="1"/>
      <c r="B261" s="7"/>
      <c r="C261" s="3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>
      <c r="A262" s="1"/>
      <c r="B262" s="7"/>
      <c r="C262" s="3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>
      <c r="A263" s="1"/>
      <c r="B263" s="7"/>
      <c r="C263" s="3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>
      <c r="A264" s="1"/>
      <c r="B264" s="7"/>
      <c r="C264" s="3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>
      <c r="A265" s="1"/>
      <c r="B265" s="7"/>
      <c r="C265" s="3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>
      <c r="A266" s="1"/>
      <c r="B266" s="7"/>
      <c r="C266" s="3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>
      <c r="A267" s="1"/>
      <c r="B267" s="7"/>
      <c r="C267" s="3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>
      <c r="A268" s="1"/>
      <c r="B268" s="7"/>
      <c r="C268" s="3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>
      <c r="A269" s="1"/>
      <c r="B269" s="7"/>
      <c r="C269" s="3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>
      <c r="A270" s="1"/>
      <c r="B270" s="7"/>
      <c r="C270" s="3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>
      <c r="A271" s="1"/>
      <c r="B271" s="7"/>
      <c r="C271" s="3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>
      <c r="A272" s="1"/>
      <c r="B272" s="7"/>
      <c r="C272" s="3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>
      <c r="A273" s="1"/>
      <c r="B273" s="7"/>
      <c r="C273" s="3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>
      <c r="A274" s="1"/>
      <c r="B274" s="7"/>
      <c r="C274" s="3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>
      <c r="A275" s="1"/>
      <c r="B275" s="7"/>
      <c r="C275" s="3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>
      <c r="A276" s="1"/>
      <c r="B276" s="7"/>
      <c r="C276" s="3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>
      <c r="A277" s="1"/>
      <c r="B277" s="7"/>
      <c r="C277" s="3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>
      <c r="A278" s="1"/>
      <c r="B278" s="7"/>
      <c r="C278" s="3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>
      <c r="A279" s="1"/>
      <c r="B279" s="7"/>
      <c r="C279" s="3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>
      <c r="A280" s="1"/>
      <c r="B280" s="7"/>
      <c r="C280" s="3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>
      <c r="A281" s="1"/>
      <c r="B281" s="7"/>
      <c r="C281" s="3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>
      <c r="A282" s="1"/>
      <c r="B282" s="7"/>
      <c r="C282" s="3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>
      <c r="A283" s="1"/>
      <c r="B283" s="7"/>
      <c r="C283" s="3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>
      <c r="A284" s="1"/>
      <c r="B284" s="7"/>
      <c r="C284" s="3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>
      <c r="A285" s="1"/>
      <c r="B285" s="7"/>
      <c r="C285" s="3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>
      <c r="A286" s="1"/>
      <c r="B286" s="7"/>
      <c r="C286" s="3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>
      <c r="A287" s="1"/>
      <c r="B287" s="7"/>
      <c r="C287" s="3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>
      <c r="A288" s="1"/>
      <c r="B288" s="7"/>
      <c r="C288" s="3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>
      <c r="A289" s="1"/>
      <c r="B289" s="7"/>
      <c r="C289" s="3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>
      <c r="A290" s="1"/>
      <c r="B290" s="7"/>
      <c r="C290" s="3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>
      <c r="A291" s="1"/>
      <c r="B291" s="7"/>
      <c r="C291" s="3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>
      <c r="A292" s="1"/>
      <c r="B292" s="7"/>
      <c r="C292" s="3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>
      <c r="A293" s="1"/>
      <c r="B293" s="7"/>
      <c r="C293" s="3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>
      <c r="A294" s="1"/>
      <c r="B294" s="7"/>
      <c r="C294" s="3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>
      <c r="A295" s="1"/>
      <c r="B295" s="7"/>
      <c r="C295" s="3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>
      <c r="A296" s="1"/>
      <c r="B296" s="7"/>
      <c r="C296" s="3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>
      <c r="A297" s="1"/>
      <c r="B297" s="7"/>
      <c r="C297" s="3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>
      <c r="A298" s="1"/>
      <c r="B298" s="7"/>
      <c r="C298" s="3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>
      <c r="A299" s="1"/>
      <c r="B299" s="7"/>
      <c r="C299" s="3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>
      <c r="A300" s="1"/>
      <c r="B300" s="7"/>
      <c r="C300" s="3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>
      <c r="A301" s="1"/>
      <c r="B301" s="7"/>
      <c r="C301" s="3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>
      <c r="A302" s="1"/>
      <c r="B302" s="7"/>
      <c r="C302" s="3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>
      <c r="A303" s="1"/>
      <c r="B303" s="7"/>
      <c r="C303" s="3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>
      <c r="A304" s="1"/>
      <c r="B304" s="7"/>
      <c r="C304" s="3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>
      <c r="A305" s="1"/>
      <c r="B305" s="7"/>
      <c r="C305" s="3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>
      <c r="A306" s="1"/>
      <c r="B306" s="7"/>
      <c r="C306" s="3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>
      <c r="A307" s="1"/>
      <c r="B307" s="7"/>
      <c r="C307" s="3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>
      <c r="A308" s="1"/>
      <c r="B308" s="7"/>
      <c r="C308" s="3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>
      <c r="A309" s="1"/>
      <c r="B309" s="7"/>
      <c r="C309" s="3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>
      <c r="A310" s="1"/>
      <c r="B310" s="7"/>
      <c r="C310" s="3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>
      <c r="A311" s="1"/>
      <c r="B311" s="7"/>
      <c r="C311" s="3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>
      <c r="A312" s="1"/>
      <c r="B312" s="7"/>
      <c r="C312" s="3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>
      <c r="A313" s="1"/>
      <c r="B313" s="7"/>
      <c r="C313" s="3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>
      <c r="A314" s="1"/>
      <c r="B314" s="7"/>
      <c r="C314" s="3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>
      <c r="A315" s="1"/>
      <c r="B315" s="7"/>
      <c r="C315" s="3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>
      <c r="A316" s="1"/>
      <c r="B316" s="7"/>
      <c r="C316" s="3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>
      <c r="A317" s="1"/>
      <c r="B317" s="7"/>
      <c r="C317" s="3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>
      <c r="A318" s="1"/>
      <c r="B318" s="7"/>
      <c r="C318" s="3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>
      <c r="A319" s="1"/>
      <c r="B319" s="7"/>
      <c r="C319" s="3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>
      <c r="A320" s="1"/>
      <c r="B320" s="7"/>
      <c r="C320" s="3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>
      <c r="A321" s="1"/>
      <c r="B321" s="7"/>
      <c r="C321" s="3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>
      <c r="A322" s="1"/>
      <c r="B322" s="7"/>
      <c r="C322" s="3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>
      <c r="A323" s="1"/>
      <c r="B323" s="7"/>
      <c r="C323" s="3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>
      <c r="A324" s="1"/>
      <c r="B324" s="7"/>
      <c r="C324" s="3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>
      <c r="A325" s="1"/>
      <c r="B325" s="7"/>
      <c r="C325" s="3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>
      <c r="A326" s="1"/>
      <c r="B326" s="7"/>
      <c r="C326" s="3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>
      <c r="A327" s="1"/>
      <c r="B327" s="7"/>
      <c r="C327" s="3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>
      <c r="A328" s="1"/>
      <c r="B328" s="7"/>
      <c r="C328" s="3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>
      <c r="A329" s="1"/>
      <c r="B329" s="7"/>
      <c r="C329" s="3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>
      <c r="A330" s="1"/>
      <c r="B330" s="7"/>
      <c r="C330" s="3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>
      <c r="A331" s="1"/>
      <c r="B331" s="7"/>
      <c r="C331" s="3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>
      <c r="A332" s="1"/>
      <c r="B332" s="7"/>
      <c r="C332" s="3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>
      <c r="A333" s="1"/>
      <c r="B333" s="7"/>
      <c r="C333" s="3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>
      <c r="A334" s="1"/>
      <c r="B334" s="7"/>
      <c r="C334" s="3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>
      <c r="A335" s="1"/>
      <c r="B335" s="7"/>
      <c r="C335" s="3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>
      <c r="A336" s="1"/>
      <c r="B336" s="7"/>
      <c r="C336" s="3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>
      <c r="A337" s="1"/>
      <c r="B337" s="7"/>
      <c r="C337" s="3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>
      <c r="A338" s="1"/>
      <c r="B338" s="7"/>
      <c r="C338" s="3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>
      <c r="A339" s="1"/>
      <c r="B339" s="7"/>
      <c r="C339" s="3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>
      <c r="A340" s="1"/>
      <c r="B340" s="7"/>
      <c r="C340" s="3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>
      <c r="A341" s="1"/>
      <c r="B341" s="7"/>
      <c r="C341" s="3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>
      <c r="A342" s="1"/>
      <c r="B342" s="7"/>
      <c r="C342" s="3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>
      <c r="A343" s="1"/>
      <c r="B343" s="7"/>
      <c r="C343" s="3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>
      <c r="A344" s="1"/>
      <c r="B344" s="7"/>
      <c r="C344" s="3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>
      <c r="A345" s="1"/>
      <c r="B345" s="7"/>
      <c r="C345" s="3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>
      <c r="A346" s="1"/>
      <c r="B346" s="7"/>
      <c r="C346" s="3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>
      <c r="A347" s="1"/>
      <c r="B347" s="7"/>
      <c r="C347" s="3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>
      <c r="A348" s="1"/>
      <c r="B348" s="7"/>
      <c r="C348" s="3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>
      <c r="A349" s="1"/>
      <c r="B349" s="7"/>
      <c r="C349" s="3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>
      <c r="A350" s="1"/>
      <c r="B350" s="7"/>
      <c r="C350" s="3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>
      <c r="A351" s="1"/>
      <c r="B351" s="7"/>
      <c r="C351" s="3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>
      <c r="A352" s="1"/>
      <c r="B352" s="7"/>
      <c r="C352" s="3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>
      <c r="A353" s="1"/>
      <c r="B353" s="7"/>
      <c r="C353" s="3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>
      <c r="A354" s="1"/>
      <c r="B354" s="7"/>
      <c r="C354" s="3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>
      <c r="A355" s="1"/>
      <c r="B355" s="7"/>
      <c r="C355" s="3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>
      <c r="A356" s="1"/>
      <c r="B356" s="7"/>
      <c r="C356" s="3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>
      <c r="A357" s="1"/>
      <c r="B357" s="7"/>
      <c r="C357" s="3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>
      <c r="A358" s="1"/>
      <c r="B358" s="7"/>
      <c r="C358" s="3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>
      <c r="A359" s="1"/>
      <c r="B359" s="7"/>
      <c r="C359" s="3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>
      <c r="A360" s="1"/>
      <c r="B360" s="7"/>
      <c r="C360" s="3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>
      <c r="A361" s="1"/>
      <c r="B361" s="7"/>
      <c r="C361" s="3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>
      <c r="A362" s="1"/>
      <c r="B362" s="7"/>
      <c r="C362" s="3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>
      <c r="A363" s="1"/>
      <c r="B363" s="7"/>
      <c r="C363" s="3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>
      <c r="A364" s="1"/>
      <c r="B364" s="7"/>
      <c r="C364" s="3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>
      <c r="A365" s="1"/>
      <c r="B365" s="7"/>
      <c r="C365" s="3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>
      <c r="A366" s="1"/>
      <c r="B366" s="7"/>
      <c r="C366" s="3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>
      <c r="A367" s="1"/>
      <c r="B367" s="7"/>
      <c r="C367" s="3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>
      <c r="A368" s="1"/>
      <c r="B368" s="7"/>
      <c r="C368" s="3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>
      <c r="A369" s="1"/>
      <c r="B369" s="7"/>
      <c r="C369" s="3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>
      <c r="A370" s="1"/>
      <c r="B370" s="7"/>
      <c r="C370" s="3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>
      <c r="A371" s="1"/>
      <c r="B371" s="7"/>
      <c r="C371" s="3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>
      <c r="A372" s="1"/>
      <c r="B372" s="7"/>
      <c r="C372" s="3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>
      <c r="A373" s="1"/>
      <c r="B373" s="7"/>
      <c r="C373" s="3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>
      <c r="A374" s="1"/>
      <c r="B374" s="7"/>
      <c r="C374" s="3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>
      <c r="A375" s="1"/>
      <c r="B375" s="7"/>
      <c r="C375" s="3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>
      <c r="A376" s="1"/>
      <c r="B376" s="7"/>
      <c r="C376" s="3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>
      <c r="A377" s="1"/>
      <c r="B377" s="7"/>
      <c r="C377" s="3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>
      <c r="A378" s="1"/>
      <c r="B378" s="7"/>
      <c r="C378" s="3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>
      <c r="A379" s="1"/>
      <c r="B379" s="7"/>
      <c r="C379" s="3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>
      <c r="A380" s="1"/>
      <c r="B380" s="7"/>
      <c r="C380" s="3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>
      <c r="A381" s="1"/>
      <c r="B381" s="7"/>
      <c r="C381" s="3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>
      <c r="A382" s="1"/>
      <c r="B382" s="7"/>
      <c r="C382" s="3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>
      <c r="A383" s="1"/>
      <c r="B383" s="7"/>
      <c r="C383" s="3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>
      <c r="A384" s="1"/>
      <c r="B384" s="7"/>
      <c r="C384" s="3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>
      <c r="A385" s="1"/>
      <c r="B385" s="7"/>
      <c r="C385" s="3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>
      <c r="A386" s="1"/>
      <c r="B386" s="7"/>
      <c r="C386" s="3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>
      <c r="A387" s="1"/>
      <c r="B387" s="7"/>
      <c r="C387" s="3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>
      <c r="A388" s="1"/>
      <c r="B388" s="7"/>
      <c r="C388" s="3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>
      <c r="A389" s="1"/>
      <c r="B389" s="7"/>
      <c r="C389" s="3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>
      <c r="A390" s="1"/>
      <c r="B390" s="7"/>
      <c r="C390" s="3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>
      <c r="A391" s="1"/>
      <c r="B391" s="7"/>
      <c r="C391" s="3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>
      <c r="A392" s="1"/>
      <c r="B392" s="7"/>
      <c r="C392" s="3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>
      <c r="A393" s="1"/>
      <c r="B393" s="7"/>
      <c r="C393" s="3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>
      <c r="A394" s="1"/>
      <c r="B394" s="7"/>
      <c r="C394" s="3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>
      <c r="A395" s="1"/>
      <c r="B395" s="7"/>
      <c r="C395" s="3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>
      <c r="A396" s="1"/>
      <c r="B396" s="7"/>
      <c r="C396" s="3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>
      <c r="A397" s="1"/>
      <c r="B397" s="7"/>
      <c r="C397" s="3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>
      <c r="A398" s="1"/>
      <c r="B398" s="7"/>
      <c r="C398" s="3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>
      <c r="A399" s="1"/>
      <c r="B399" s="7"/>
      <c r="C399" s="3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>
      <c r="A400" s="1"/>
      <c r="B400" s="7"/>
      <c r="C400" s="3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>
      <c r="A401" s="1"/>
      <c r="B401" s="7"/>
      <c r="C401" s="3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>
      <c r="A402" s="1"/>
      <c r="B402" s="7"/>
      <c r="C402" s="3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>
      <c r="A403" s="1"/>
      <c r="B403" s="7"/>
      <c r="C403" s="3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>
      <c r="A404" s="1"/>
      <c r="B404" s="7"/>
      <c r="C404" s="3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>
      <c r="A405" s="1"/>
      <c r="B405" s="7"/>
      <c r="C405" s="3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>
      <c r="A406" s="1"/>
      <c r="B406" s="7"/>
      <c r="C406" s="3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>
      <c r="A407" s="1"/>
      <c r="B407" s="7"/>
      <c r="C407" s="3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>
      <c r="A408" s="1"/>
      <c r="B408" s="7"/>
      <c r="C408" s="3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>
      <c r="A409" s="1"/>
      <c r="B409" s="7"/>
      <c r="C409" s="3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>
      <c r="A410" s="1"/>
      <c r="B410" s="7"/>
      <c r="C410" s="3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>
      <c r="A411" s="1"/>
      <c r="B411" s="7"/>
      <c r="C411" s="3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>
      <c r="A412" s="1"/>
      <c r="B412" s="7"/>
      <c r="C412" s="3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>
      <c r="A413" s="1"/>
      <c r="B413" s="7"/>
      <c r="C413" s="3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>
      <c r="A414" s="1"/>
      <c r="B414" s="7"/>
      <c r="C414" s="3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>
      <c r="A415" s="1"/>
      <c r="B415" s="7"/>
      <c r="C415" s="3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>
      <c r="A416" s="1"/>
      <c r="B416" s="7"/>
      <c r="C416" s="3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>
      <c r="A417" s="1"/>
      <c r="B417" s="7"/>
      <c r="C417" s="3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>
      <c r="A418" s="1"/>
      <c r="B418" s="7"/>
      <c r="C418" s="3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>
      <c r="A419" s="1"/>
      <c r="B419" s="7"/>
      <c r="C419" s="3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>
      <c r="A420" s="1"/>
      <c r="B420" s="7"/>
      <c r="C420" s="3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>
      <c r="A421" s="1"/>
      <c r="B421" s="7"/>
      <c r="C421" s="3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>
      <c r="A422" s="1"/>
      <c r="B422" s="7"/>
      <c r="C422" s="3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>
      <c r="A423" s="1"/>
      <c r="B423" s="7"/>
      <c r="C423" s="3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>
      <c r="A424" s="1"/>
      <c r="B424" s="7"/>
      <c r="C424" s="3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>
      <c r="A425" s="1"/>
      <c r="B425" s="7"/>
      <c r="C425" s="3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>
      <c r="A426" s="1"/>
      <c r="B426" s="7"/>
      <c r="C426" s="3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>
      <c r="A427" s="1"/>
      <c r="B427" s="7"/>
      <c r="C427" s="3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>
      <c r="A428" s="1"/>
      <c r="B428" s="7"/>
      <c r="C428" s="3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>
      <c r="A429" s="1"/>
      <c r="B429" s="7"/>
      <c r="C429" s="3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>
      <c r="A430" s="1"/>
      <c r="B430" s="7"/>
      <c r="C430" s="3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>
      <c r="A431" s="1"/>
      <c r="B431" s="7"/>
      <c r="C431" s="3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>
      <c r="A432" s="1"/>
      <c r="B432" s="7"/>
      <c r="C432" s="3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>
      <c r="A433" s="1"/>
      <c r="B433" s="7"/>
      <c r="C433" s="3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>
      <c r="A434" s="1"/>
      <c r="B434" s="7"/>
      <c r="C434" s="3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>
      <c r="A435" s="1"/>
      <c r="B435" s="7"/>
      <c r="C435" s="3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>
      <c r="A436" s="1"/>
      <c r="B436" s="7"/>
      <c r="C436" s="3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>
      <c r="A437" s="1"/>
      <c r="B437" s="7"/>
      <c r="C437" s="3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>
      <c r="A438" s="1"/>
      <c r="B438" s="7"/>
      <c r="C438" s="3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>
      <c r="A439" s="1"/>
      <c r="B439" s="7"/>
      <c r="C439" s="3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>
      <c r="A440" s="1"/>
      <c r="B440" s="7"/>
      <c r="C440" s="3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>
      <c r="A441" s="1"/>
      <c r="B441" s="7"/>
      <c r="C441" s="3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>
      <c r="A442" s="1"/>
      <c r="B442" s="7"/>
      <c r="C442" s="3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>
      <c r="A443" s="1"/>
      <c r="B443" s="7"/>
      <c r="C443" s="3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>
      <c r="A444" s="1"/>
      <c r="B444" s="7"/>
      <c r="C444" s="3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>
      <c r="A445" s="1"/>
      <c r="B445" s="7"/>
      <c r="C445" s="3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>
      <c r="A446" s="1"/>
      <c r="B446" s="7"/>
      <c r="C446" s="3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>
      <c r="A447" s="1"/>
      <c r="B447" s="7"/>
      <c r="C447" s="3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>
      <c r="A448" s="1"/>
      <c r="B448" s="7"/>
      <c r="C448" s="3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>
      <c r="A449" s="1"/>
      <c r="B449" s="7"/>
      <c r="C449" s="3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>
      <c r="A450" s="1"/>
      <c r="B450" s="7"/>
      <c r="C450" s="3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>
      <c r="A451" s="1"/>
      <c r="B451" s="7"/>
      <c r="C451" s="3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>
      <c r="A452" s="1"/>
      <c r="B452" s="7"/>
      <c r="C452" s="3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>
      <c r="A453" s="1"/>
      <c r="B453" s="7"/>
      <c r="C453" s="3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>
      <c r="A454" s="1"/>
      <c r="B454" s="7"/>
      <c r="C454" s="3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>
      <c r="A455" s="1"/>
      <c r="B455" s="7"/>
      <c r="C455" s="3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>
      <c r="A456" s="1"/>
      <c r="B456" s="7"/>
      <c r="C456" s="3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>
      <c r="A457" s="1"/>
      <c r="B457" s="7"/>
      <c r="C457" s="3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>
      <c r="A458" s="1"/>
      <c r="B458" s="7"/>
      <c r="C458" s="3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>
      <c r="A459" s="1"/>
      <c r="B459" s="7"/>
      <c r="C459" s="3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>
      <c r="A460" s="1"/>
      <c r="B460" s="7"/>
      <c r="C460" s="3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>
      <c r="A461" s="1"/>
      <c r="B461" s="7"/>
      <c r="C461" s="3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>
      <c r="A462" s="1"/>
      <c r="B462" s="7"/>
      <c r="C462" s="3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>
      <c r="A463" s="1"/>
      <c r="B463" s="7"/>
      <c r="C463" s="3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>
      <c r="A464" s="1"/>
      <c r="B464" s="7"/>
      <c r="C464" s="3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>
      <c r="A465" s="1"/>
      <c r="B465" s="7"/>
      <c r="C465" s="3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>
      <c r="A466" s="1"/>
      <c r="B466" s="7"/>
      <c r="C466" s="3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>
      <c r="A467" s="1"/>
      <c r="B467" s="7"/>
      <c r="C467" s="3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>
      <c r="A468" s="1"/>
      <c r="B468" s="7"/>
      <c r="C468" s="3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>
      <c r="A469" s="1"/>
      <c r="B469" s="7"/>
      <c r="C469" s="3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>
      <c r="A470" s="1"/>
      <c r="B470" s="7"/>
      <c r="C470" s="3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>
      <c r="A471" s="1"/>
      <c r="B471" s="7"/>
      <c r="C471" s="3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>
      <c r="A472" s="1"/>
      <c r="B472" s="7"/>
      <c r="C472" s="3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>
      <c r="A473" s="1"/>
      <c r="B473" s="7"/>
      <c r="C473" s="3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>
      <c r="A474" s="1"/>
      <c r="B474" s="7"/>
      <c r="C474" s="3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>
      <c r="A475" s="1"/>
      <c r="B475" s="7"/>
      <c r="C475" s="3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>
      <c r="A476" s="1"/>
      <c r="B476" s="7"/>
      <c r="C476" s="3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>
      <c r="A477" s="1"/>
      <c r="B477" s="7"/>
      <c r="C477" s="3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>
      <c r="A478" s="1"/>
      <c r="B478" s="7"/>
      <c r="C478" s="3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>
      <c r="A479" s="1"/>
      <c r="B479" s="7"/>
      <c r="C479" s="3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>
      <c r="A480" s="1"/>
      <c r="B480" s="7"/>
      <c r="C480" s="3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>
      <c r="A481" s="1"/>
      <c r="B481" s="7"/>
      <c r="C481" s="3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>
      <c r="A482" s="1"/>
      <c r="B482" s="7"/>
      <c r="C482" s="3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>
      <c r="A483" s="1"/>
      <c r="B483" s="7"/>
      <c r="C483" s="3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>
      <c r="A484" s="1"/>
      <c r="B484" s="7"/>
      <c r="C484" s="3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>
      <c r="A485" s="1"/>
      <c r="B485" s="7"/>
      <c r="C485" s="3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>
      <c r="A486" s="1"/>
      <c r="B486" s="7"/>
      <c r="C486" s="3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>
      <c r="A487" s="1"/>
      <c r="B487" s="7"/>
      <c r="C487" s="3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>
      <c r="A488" s="1"/>
      <c r="B488" s="7"/>
      <c r="C488" s="3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>
      <c r="A489" s="1"/>
      <c r="B489" s="7"/>
      <c r="C489" s="3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>
      <c r="A490" s="1"/>
      <c r="B490" s="7"/>
      <c r="C490" s="3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>
      <c r="A491" s="1"/>
      <c r="B491" s="7"/>
      <c r="C491" s="3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>
      <c r="A492" s="1"/>
      <c r="B492" s="7"/>
      <c r="C492" s="3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>
      <c r="A493" s="1"/>
      <c r="B493" s="7"/>
      <c r="C493" s="3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>
      <c r="A494" s="1"/>
      <c r="B494" s="7"/>
      <c r="C494" s="3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>
      <c r="A495" s="1"/>
      <c r="B495" s="7"/>
      <c r="C495" s="3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>
      <c r="A496" s="1"/>
      <c r="B496" s="7"/>
      <c r="C496" s="3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>
      <c r="A497" s="1"/>
      <c r="B497" s="7"/>
      <c r="C497" s="3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>
      <c r="A498" s="1"/>
      <c r="B498" s="7"/>
      <c r="C498" s="3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>
      <c r="A499" s="1"/>
      <c r="B499" s="7"/>
      <c r="C499" s="3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>
      <c r="A500" s="1"/>
      <c r="B500" s="7"/>
      <c r="C500" s="3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>
      <c r="A501" s="1"/>
      <c r="B501" s="7"/>
      <c r="C501" s="3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>
      <c r="A502" s="1"/>
      <c r="B502" s="7"/>
      <c r="C502" s="3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>
      <c r="A503" s="1"/>
      <c r="B503" s="7"/>
      <c r="C503" s="3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>
      <c r="A504" s="1"/>
      <c r="B504" s="7"/>
      <c r="C504" s="3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>
      <c r="A505" s="1"/>
      <c r="B505" s="7"/>
      <c r="C505" s="3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>
      <c r="A506" s="1"/>
      <c r="B506" s="7"/>
      <c r="C506" s="3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>
      <c r="A507" s="1"/>
      <c r="B507" s="7"/>
      <c r="C507" s="3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>
      <c r="A508" s="1"/>
      <c r="B508" s="7"/>
      <c r="C508" s="3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>
      <c r="A509" s="1"/>
      <c r="B509" s="7"/>
      <c r="C509" s="3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>
      <c r="A510" s="1"/>
      <c r="B510" s="7"/>
      <c r="C510" s="3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>
      <c r="A511" s="1"/>
      <c r="B511" s="7"/>
      <c r="C511" s="3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>
      <c r="A512" s="1"/>
      <c r="B512" s="7"/>
      <c r="C512" s="3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>
      <c r="A513" s="1"/>
      <c r="B513" s="7"/>
      <c r="C513" s="3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>
      <c r="A514" s="1"/>
      <c r="B514" s="7"/>
      <c r="C514" s="3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>
      <c r="A515" s="1"/>
      <c r="B515" s="7"/>
      <c r="C515" s="3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>
      <c r="A516" s="1"/>
      <c r="B516" s="7"/>
      <c r="C516" s="3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>
      <c r="A517" s="1"/>
      <c r="B517" s="7"/>
      <c r="C517" s="3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>
      <c r="A518" s="1"/>
      <c r="B518" s="7"/>
      <c r="C518" s="3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>
      <c r="A519" s="1"/>
      <c r="B519" s="7"/>
      <c r="C519" s="3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>
      <c r="A520" s="1"/>
      <c r="B520" s="7"/>
      <c r="C520" s="3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>
      <c r="A521" s="1"/>
      <c r="B521" s="7"/>
      <c r="C521" s="3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>
      <c r="A522" s="1"/>
      <c r="B522" s="7"/>
      <c r="C522" s="3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>
      <c r="A523" s="1"/>
      <c r="B523" s="7"/>
      <c r="C523" s="3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>
      <c r="A524" s="1"/>
      <c r="B524" s="7"/>
      <c r="C524" s="3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>
      <c r="A525" s="1"/>
      <c r="B525" s="7"/>
      <c r="C525" s="3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>
      <c r="A526" s="1"/>
      <c r="B526" s="7"/>
      <c r="C526" s="3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>
      <c r="A527" s="1"/>
      <c r="B527" s="7"/>
      <c r="C527" s="3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>
      <c r="A528" s="1"/>
      <c r="B528" s="7"/>
      <c r="C528" s="3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>
      <c r="A529" s="1"/>
      <c r="B529" s="7"/>
      <c r="C529" s="3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>
      <c r="A530" s="1"/>
      <c r="B530" s="7"/>
      <c r="C530" s="3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>
      <c r="A531" s="1"/>
      <c r="B531" s="7"/>
      <c r="C531" s="3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>
      <c r="A532" s="1"/>
      <c r="B532" s="7"/>
      <c r="C532" s="3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>
      <c r="A533" s="1"/>
      <c r="B533" s="7"/>
      <c r="C533" s="3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>
      <c r="A534" s="1"/>
      <c r="B534" s="7"/>
      <c r="C534" s="3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>
      <c r="A535" s="1"/>
      <c r="B535" s="7"/>
      <c r="C535" s="3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>
      <c r="A536" s="1"/>
      <c r="B536" s="7"/>
      <c r="C536" s="3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>
      <c r="A537" s="1"/>
      <c r="B537" s="7"/>
      <c r="C537" s="3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>
      <c r="A538" s="1"/>
      <c r="B538" s="7"/>
      <c r="C538" s="3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>
      <c r="A539" s="1"/>
      <c r="B539" s="7"/>
      <c r="C539" s="3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>
      <c r="A540" s="1"/>
      <c r="B540" s="7"/>
      <c r="C540" s="3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>
      <c r="A541" s="1"/>
      <c r="B541" s="7"/>
      <c r="C541" s="3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>
      <c r="A542" s="1"/>
      <c r="B542" s="7"/>
      <c r="C542" s="3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>
      <c r="A543" s="1"/>
      <c r="B543" s="7"/>
      <c r="C543" s="3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>
      <c r="A544" s="1"/>
      <c r="B544" s="7"/>
      <c r="C544" s="3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>
      <c r="A545" s="1"/>
      <c r="B545" s="7"/>
      <c r="C545" s="3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>
      <c r="A546" s="1"/>
      <c r="B546" s="7"/>
      <c r="C546" s="3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>
      <c r="A547" s="1"/>
      <c r="B547" s="7"/>
      <c r="C547" s="3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>
      <c r="A548" s="1"/>
      <c r="B548" s="7"/>
      <c r="C548" s="3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>
      <c r="A549" s="1"/>
      <c r="B549" s="7"/>
      <c r="C549" s="3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>
      <c r="A550" s="1"/>
      <c r="B550" s="7"/>
      <c r="C550" s="3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>
      <c r="A551" s="1"/>
      <c r="B551" s="7"/>
      <c r="C551" s="3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>
      <c r="A552" s="1"/>
      <c r="B552" s="7"/>
      <c r="C552" s="3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>
      <c r="A553" s="1"/>
      <c r="B553" s="7"/>
      <c r="C553" s="3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>
      <c r="A554" s="1"/>
      <c r="B554" s="7"/>
      <c r="C554" s="3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>
      <c r="A555" s="1"/>
      <c r="B555" s="7"/>
      <c r="C555" s="3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>
      <c r="A556" s="1"/>
      <c r="B556" s="7"/>
      <c r="C556" s="3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>
      <c r="A557" s="1"/>
      <c r="B557" s="7"/>
      <c r="C557" s="3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>
      <c r="A558" s="1"/>
      <c r="B558" s="7"/>
      <c r="C558" s="3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>
      <c r="A559" s="1"/>
      <c r="B559" s="7"/>
      <c r="C559" s="3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>
      <c r="A560" s="1"/>
      <c r="B560" s="7"/>
      <c r="C560" s="3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>
      <c r="A561" s="1"/>
      <c r="B561" s="7"/>
      <c r="C561" s="3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>
      <c r="A562" s="1"/>
      <c r="B562" s="7"/>
      <c r="C562" s="3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>
      <c r="A563" s="1"/>
      <c r="B563" s="7"/>
      <c r="C563" s="3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>
      <c r="A564" s="1"/>
      <c r="B564" s="7"/>
      <c r="C564" s="3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>
      <c r="A565" s="1"/>
      <c r="B565" s="7"/>
      <c r="C565" s="3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>
      <c r="A566" s="1"/>
      <c r="B566" s="7"/>
      <c r="C566" s="3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>
      <c r="A567" s="1"/>
      <c r="B567" s="7"/>
      <c r="C567" s="3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>
      <c r="A568" s="1"/>
      <c r="B568" s="7"/>
      <c r="C568" s="3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>
      <c r="A569" s="1"/>
      <c r="B569" s="7"/>
      <c r="C569" s="3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>
      <c r="A570" s="1"/>
      <c r="B570" s="7"/>
      <c r="C570" s="3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>
      <c r="A571" s="1"/>
      <c r="B571" s="7"/>
      <c r="C571" s="3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>
      <c r="A572" s="1"/>
      <c r="B572" s="7"/>
      <c r="C572" s="3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>
      <c r="A573" s="1"/>
      <c r="B573" s="7"/>
      <c r="C573" s="3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>
      <c r="A574" s="1"/>
      <c r="B574" s="7"/>
      <c r="C574" s="3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>
      <c r="A575" s="1"/>
      <c r="B575" s="7"/>
      <c r="C575" s="3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>
      <c r="A576" s="1"/>
      <c r="B576" s="7"/>
      <c r="C576" s="3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>
      <c r="A577" s="1"/>
      <c r="B577" s="7"/>
      <c r="C577" s="3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>
      <c r="A578" s="1"/>
      <c r="B578" s="7"/>
      <c r="C578" s="3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>
      <c r="A579" s="1"/>
      <c r="B579" s="7"/>
      <c r="C579" s="3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>
      <c r="A580" s="1"/>
      <c r="B580" s="7"/>
      <c r="C580" s="3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>
      <c r="A581" s="1"/>
      <c r="B581" s="7"/>
      <c r="C581" s="3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>
      <c r="A582" s="1"/>
      <c r="B582" s="7"/>
      <c r="C582" s="3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>
      <c r="A583" s="1"/>
      <c r="B583" s="7"/>
      <c r="C583" s="3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>
      <c r="A584" s="1"/>
      <c r="B584" s="7"/>
      <c r="C584" s="3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>
      <c r="A585" s="1"/>
      <c r="B585" s="7"/>
      <c r="C585" s="3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>
      <c r="A586" s="1"/>
      <c r="B586" s="7"/>
      <c r="C586" s="3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>
      <c r="A587" s="1"/>
      <c r="B587" s="7"/>
      <c r="C587" s="3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>
      <c r="A588" s="1"/>
      <c r="B588" s="7"/>
      <c r="C588" s="3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>
      <c r="A589" s="1"/>
      <c r="B589" s="7"/>
      <c r="C589" s="3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>
      <c r="A590" s="1"/>
      <c r="B590" s="7"/>
      <c r="C590" s="3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>
      <c r="A591" s="1"/>
      <c r="B591" s="7"/>
      <c r="C591" s="3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>
      <c r="A592" s="1"/>
      <c r="B592" s="7"/>
      <c r="C592" s="3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>
      <c r="A593" s="1"/>
      <c r="B593" s="7"/>
      <c r="C593" s="3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>
      <c r="A594" s="1"/>
      <c r="B594" s="7"/>
      <c r="C594" s="3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>
      <c r="A595" s="1"/>
      <c r="B595" s="7"/>
      <c r="C595" s="3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>
      <c r="A596" s="1"/>
      <c r="B596" s="7"/>
      <c r="C596" s="3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>
      <c r="A597" s="1"/>
      <c r="B597" s="7"/>
      <c r="C597" s="3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>
      <c r="A598" s="1"/>
      <c r="B598" s="7"/>
      <c r="C598" s="3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>
      <c r="A599" s="1"/>
      <c r="B599" s="7"/>
      <c r="C599" s="3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>
      <c r="A600" s="1"/>
      <c r="B600" s="7"/>
      <c r="C600" s="3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>
      <c r="A601" s="1"/>
      <c r="B601" s="7"/>
      <c r="C601" s="3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>
      <c r="A602" s="1"/>
      <c r="B602" s="7"/>
      <c r="C602" s="3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>
      <c r="A603" s="1"/>
      <c r="B603" s="7"/>
      <c r="C603" s="3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>
      <c r="A604" s="1"/>
      <c r="B604" s="7"/>
      <c r="C604" s="3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>
      <c r="A605" s="1"/>
      <c r="B605" s="7"/>
      <c r="C605" s="3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>
      <c r="A606" s="1"/>
      <c r="B606" s="7"/>
      <c r="C606" s="3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>
      <c r="A607" s="1"/>
      <c r="B607" s="7"/>
      <c r="C607" s="3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>
      <c r="A608" s="1"/>
      <c r="B608" s="7"/>
      <c r="C608" s="3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>
      <c r="A609" s="1"/>
      <c r="B609" s="7"/>
      <c r="C609" s="3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>
      <c r="A610" s="1"/>
      <c r="B610" s="7"/>
      <c r="C610" s="3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>
      <c r="A611" s="1"/>
      <c r="B611" s="7"/>
      <c r="C611" s="3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>
      <c r="A612" s="1"/>
      <c r="B612" s="7"/>
      <c r="C612" s="3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>
      <c r="A613" s="1"/>
      <c r="B613" s="7"/>
      <c r="C613" s="3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>
      <c r="A614" s="1"/>
      <c r="B614" s="7"/>
      <c r="C614" s="3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>
      <c r="A615" s="1"/>
      <c r="B615" s="7"/>
      <c r="C615" s="3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>
      <c r="A616" s="1"/>
      <c r="B616" s="7"/>
      <c r="C616" s="3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>
      <c r="A617" s="1"/>
      <c r="B617" s="7"/>
      <c r="C617" s="3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>
      <c r="A618" s="1"/>
      <c r="B618" s="7"/>
      <c r="C618" s="3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>
      <c r="A619" s="1"/>
      <c r="B619" s="7"/>
      <c r="C619" s="3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>
      <c r="A620" s="1"/>
      <c r="B620" s="7"/>
      <c r="C620" s="3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>
      <c r="A621" s="1"/>
      <c r="B621" s="7"/>
      <c r="C621" s="3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>
      <c r="A622" s="1"/>
      <c r="B622" s="7"/>
      <c r="C622" s="3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>
      <c r="A623" s="1"/>
      <c r="B623" s="7"/>
      <c r="C623" s="3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>
      <c r="A624" s="1"/>
      <c r="B624" s="7"/>
      <c r="C624" s="3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>
      <c r="A625" s="1"/>
      <c r="B625" s="7"/>
      <c r="C625" s="3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>
      <c r="A626" s="1"/>
      <c r="B626" s="7"/>
      <c r="C626" s="3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>
      <c r="A627" s="1"/>
      <c r="B627" s="7"/>
      <c r="C627" s="3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>
      <c r="A628" s="1"/>
      <c r="B628" s="7"/>
      <c r="C628" s="3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>
      <c r="A629" s="1"/>
      <c r="B629" s="7"/>
      <c r="C629" s="3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>
      <c r="A630" s="1"/>
      <c r="B630" s="7"/>
      <c r="C630" s="3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>
      <c r="A631" s="1"/>
      <c r="B631" s="7"/>
      <c r="C631" s="3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>
      <c r="A632" s="1"/>
      <c r="B632" s="7"/>
      <c r="C632" s="3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>
      <c r="A633" s="1"/>
      <c r="B633" s="7"/>
      <c r="C633" s="3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>
      <c r="A634" s="1"/>
      <c r="B634" s="7"/>
      <c r="C634" s="3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>
      <c r="A635" s="1"/>
      <c r="B635" s="7"/>
      <c r="C635" s="3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>
      <c r="A636" s="1"/>
      <c r="B636" s="7"/>
      <c r="C636" s="3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>
      <c r="A637" s="1"/>
      <c r="B637" s="7"/>
      <c r="C637" s="3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>
      <c r="A638" s="1"/>
      <c r="B638" s="7"/>
      <c r="C638" s="3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>
      <c r="A639" s="1"/>
      <c r="B639" s="7"/>
      <c r="C639" s="3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>
      <c r="A640" s="1"/>
      <c r="B640" s="7"/>
      <c r="C640" s="3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>
      <c r="A641" s="1"/>
      <c r="B641" s="7"/>
      <c r="C641" s="3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>
      <c r="A642" s="1"/>
      <c r="B642" s="7"/>
      <c r="C642" s="3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>
      <c r="A643" s="1"/>
      <c r="B643" s="7"/>
      <c r="C643" s="3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>
      <c r="A644" s="1"/>
      <c r="B644" s="7"/>
      <c r="C644" s="3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>
      <c r="A645" s="1"/>
      <c r="B645" s="7"/>
      <c r="C645" s="3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>
      <c r="A646" s="1"/>
      <c r="B646" s="7"/>
      <c r="C646" s="3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>
      <c r="A647" s="1"/>
      <c r="B647" s="7"/>
      <c r="C647" s="3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>
      <c r="A648" s="1"/>
      <c r="B648" s="7"/>
      <c r="C648" s="3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>
      <c r="A649" s="1"/>
      <c r="B649" s="7"/>
      <c r="C649" s="3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>
      <c r="A650" s="1"/>
      <c r="B650" s="7"/>
      <c r="C650" s="3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>
      <c r="A651" s="1"/>
      <c r="B651" s="7"/>
      <c r="C651" s="3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>
      <c r="A652" s="1"/>
      <c r="B652" s="7"/>
      <c r="C652" s="3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>
      <c r="A653" s="1"/>
      <c r="B653" s="7"/>
      <c r="C653" s="3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>
      <c r="A654" s="1"/>
      <c r="B654" s="7"/>
      <c r="C654" s="3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>
      <c r="A655" s="1"/>
      <c r="B655" s="7"/>
      <c r="C655" s="3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>
      <c r="A656" s="1"/>
      <c r="B656" s="7"/>
      <c r="C656" s="3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>
      <c r="A657" s="1"/>
      <c r="B657" s="7"/>
      <c r="C657" s="3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>
      <c r="A658" s="1"/>
      <c r="B658" s="7"/>
      <c r="C658" s="3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>
      <c r="A659" s="1"/>
      <c r="B659" s="7"/>
      <c r="C659" s="3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>
      <c r="A660" s="1"/>
      <c r="B660" s="7"/>
      <c r="C660" s="3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>
      <c r="A661" s="1"/>
      <c r="B661" s="7"/>
      <c r="C661" s="3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>
      <c r="A662" s="1"/>
      <c r="B662" s="7"/>
      <c r="C662" s="3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>
      <c r="A663" s="1"/>
      <c r="B663" s="7"/>
      <c r="C663" s="3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>
      <c r="A664" s="1"/>
      <c r="B664" s="7"/>
      <c r="C664" s="3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>
      <c r="A665" s="1"/>
      <c r="B665" s="7"/>
      <c r="C665" s="3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>
      <c r="A666" s="1"/>
      <c r="B666" s="7"/>
      <c r="C666" s="3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>
      <c r="A667" s="1"/>
      <c r="B667" s="7"/>
      <c r="C667" s="3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>
      <c r="A668" s="1"/>
      <c r="B668" s="7"/>
      <c r="C668" s="3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>
      <c r="A669" s="1"/>
      <c r="B669" s="7"/>
      <c r="C669" s="3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>
      <c r="A670" s="1"/>
      <c r="B670" s="7"/>
      <c r="C670" s="3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>
      <c r="A671" s="1"/>
      <c r="B671" s="7"/>
      <c r="C671" s="3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>
      <c r="A672" s="1"/>
      <c r="B672" s="7"/>
      <c r="C672" s="3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>
      <c r="A673" s="1"/>
      <c r="B673" s="7"/>
      <c r="C673" s="3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>
      <c r="A674" s="1"/>
      <c r="B674" s="7"/>
      <c r="C674" s="3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>
      <c r="A675" s="1"/>
      <c r="B675" s="7"/>
      <c r="C675" s="3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>
      <c r="A676" s="1"/>
      <c r="B676" s="7"/>
      <c r="C676" s="3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>
      <c r="A677" s="1"/>
      <c r="B677" s="7"/>
      <c r="C677" s="3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>
      <c r="A678" s="1"/>
      <c r="B678" s="7"/>
      <c r="C678" s="3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>
      <c r="A679" s="1"/>
      <c r="B679" s="7"/>
      <c r="C679" s="3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>
      <c r="A680" s="1"/>
      <c r="B680" s="7"/>
      <c r="C680" s="3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>
      <c r="A681" s="1"/>
      <c r="B681" s="7"/>
      <c r="C681" s="3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>
      <c r="A682" s="1"/>
      <c r="B682" s="7"/>
      <c r="C682" s="3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>
      <c r="A683" s="1"/>
      <c r="B683" s="7"/>
      <c r="C683" s="3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>
      <c r="A684" s="1"/>
      <c r="B684" s="7"/>
      <c r="C684" s="3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>
      <c r="A685" s="1"/>
      <c r="B685" s="7"/>
      <c r="C685" s="3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>
      <c r="A686" s="1"/>
      <c r="B686" s="7"/>
      <c r="C686" s="3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>
      <c r="A687" s="1"/>
      <c r="B687" s="7"/>
      <c r="C687" s="3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>
      <c r="A688" s="1"/>
      <c r="B688" s="7"/>
      <c r="C688" s="3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>
      <c r="A689" s="1"/>
      <c r="B689" s="7"/>
      <c r="C689" s="3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>
      <c r="A690" s="1"/>
      <c r="B690" s="7"/>
      <c r="C690" s="3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>
      <c r="A691" s="1"/>
      <c r="B691" s="7"/>
      <c r="C691" s="3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>
      <c r="A692" s="1"/>
      <c r="B692" s="7"/>
      <c r="C692" s="3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>
      <c r="A693" s="1"/>
      <c r="B693" s="7"/>
      <c r="C693" s="3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>
      <c r="A694" s="1"/>
      <c r="B694" s="7"/>
      <c r="C694" s="3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>
      <c r="A695" s="1"/>
      <c r="B695" s="7"/>
      <c r="C695" s="3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>
      <c r="A696" s="1"/>
      <c r="B696" s="7"/>
      <c r="C696" s="3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>
      <c r="A697" s="1"/>
      <c r="B697" s="7"/>
      <c r="C697" s="3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>
      <c r="A698" s="1"/>
      <c r="B698" s="7"/>
      <c r="C698" s="3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>
      <c r="A699" s="1"/>
      <c r="B699" s="7"/>
      <c r="C699" s="3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>
      <c r="A700" s="1"/>
      <c r="B700" s="7"/>
      <c r="C700" s="3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>
      <c r="A701" s="1"/>
      <c r="B701" s="7"/>
      <c r="C701" s="3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>
      <c r="A702" s="1"/>
      <c r="B702" s="7"/>
      <c r="C702" s="3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>
      <c r="A703" s="1"/>
      <c r="B703" s="7"/>
      <c r="C703" s="3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>
      <c r="A704" s="1"/>
      <c r="B704" s="7"/>
      <c r="C704" s="3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>
      <c r="A705" s="1"/>
      <c r="B705" s="7"/>
      <c r="C705" s="3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>
      <c r="A706" s="1"/>
      <c r="B706" s="7"/>
      <c r="C706" s="3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>
      <c r="A707" s="1"/>
      <c r="B707" s="7"/>
      <c r="C707" s="3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>
      <c r="A708" s="1"/>
      <c r="B708" s="7"/>
      <c r="C708" s="3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>
      <c r="A709" s="1"/>
      <c r="B709" s="7"/>
      <c r="C709" s="3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>
      <c r="A710" s="1"/>
      <c r="B710" s="7"/>
      <c r="C710" s="3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>
      <c r="A711" s="1"/>
      <c r="B711" s="7"/>
      <c r="C711" s="3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>
      <c r="A712" s="1"/>
      <c r="B712" s="7"/>
      <c r="C712" s="3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>
      <c r="A713" s="1"/>
      <c r="B713" s="7"/>
      <c r="C713" s="3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>
      <c r="A714" s="1"/>
      <c r="B714" s="7"/>
      <c r="C714" s="3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>
      <c r="A715" s="1"/>
      <c r="B715" s="7"/>
      <c r="C715" s="3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>
      <c r="A716" s="1"/>
      <c r="B716" s="7"/>
      <c r="C716" s="3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>
      <c r="A717" s="1"/>
      <c r="B717" s="7"/>
      <c r="C717" s="3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>
      <c r="A718" s="1"/>
      <c r="B718" s="7"/>
      <c r="C718" s="3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>
      <c r="A719" s="1"/>
      <c r="B719" s="7"/>
      <c r="C719" s="3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>
      <c r="A720" s="1"/>
      <c r="B720" s="7"/>
      <c r="C720" s="3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>
      <c r="A721" s="1"/>
      <c r="B721" s="7"/>
      <c r="C721" s="3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>
      <c r="A722" s="1"/>
      <c r="B722" s="7"/>
      <c r="C722" s="3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>
      <c r="A723" s="1"/>
      <c r="B723" s="7"/>
      <c r="C723" s="3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>
      <c r="A724" s="1"/>
      <c r="B724" s="7"/>
      <c r="C724" s="3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>
      <c r="A725" s="1"/>
      <c r="B725" s="7"/>
      <c r="C725" s="3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>
      <c r="A726" s="1"/>
      <c r="B726" s="7"/>
      <c r="C726" s="3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>
      <c r="A727" s="1"/>
      <c r="B727" s="7"/>
      <c r="C727" s="3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>
      <c r="A728" s="1"/>
      <c r="B728" s="7"/>
      <c r="C728" s="3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>
      <c r="A729" s="1"/>
      <c r="B729" s="7"/>
      <c r="C729" s="3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>
      <c r="A730" s="1"/>
      <c r="B730" s="7"/>
      <c r="C730" s="3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>
      <c r="A731" s="1"/>
      <c r="B731" s="7"/>
      <c r="C731" s="3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>
      <c r="A732" s="1"/>
      <c r="B732" s="7"/>
      <c r="C732" s="3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>
      <c r="A733" s="1"/>
      <c r="B733" s="7"/>
      <c r="C733" s="3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>
      <c r="A734" s="1"/>
      <c r="B734" s="7"/>
      <c r="C734" s="3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>
      <c r="A735" s="1"/>
      <c r="B735" s="7"/>
      <c r="C735" s="3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>
      <c r="A736" s="1"/>
      <c r="B736" s="7"/>
      <c r="C736" s="3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>
      <c r="A737" s="1"/>
      <c r="B737" s="7"/>
      <c r="C737" s="3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>
      <c r="A738" s="1"/>
      <c r="B738" s="7"/>
      <c r="C738" s="3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>
      <c r="A739" s="1"/>
      <c r="B739" s="7"/>
      <c r="C739" s="3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>
      <c r="A740" s="1"/>
      <c r="B740" s="7"/>
      <c r="C740" s="3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>
      <c r="A741" s="1"/>
      <c r="B741" s="7"/>
      <c r="C741" s="3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>
      <c r="A742" s="1"/>
      <c r="B742" s="7"/>
      <c r="C742" s="3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>
      <c r="A743" s="1"/>
      <c r="B743" s="7"/>
      <c r="C743" s="3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>
      <c r="A744" s="1"/>
      <c r="B744" s="7"/>
      <c r="C744" s="3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>
      <c r="A745" s="1"/>
      <c r="B745" s="7"/>
      <c r="C745" s="3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>
      <c r="A746" s="1"/>
      <c r="B746" s="7"/>
      <c r="C746" s="3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>
      <c r="A747" s="1"/>
      <c r="B747" s="7"/>
      <c r="C747" s="3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>
      <c r="A748" s="1"/>
      <c r="B748" s="7"/>
      <c r="C748" s="3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>
      <c r="A749" s="1"/>
      <c r="B749" s="7"/>
      <c r="C749" s="3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>
      <c r="A750" s="1"/>
      <c r="B750" s="7"/>
      <c r="C750" s="3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>
      <c r="A751" s="1"/>
      <c r="B751" s="7"/>
      <c r="C751" s="3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>
      <c r="A752" s="1"/>
      <c r="B752" s="7"/>
      <c r="C752" s="3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>
      <c r="A753" s="1"/>
      <c r="B753" s="7"/>
      <c r="C753" s="3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>
      <c r="A754" s="1"/>
      <c r="B754" s="7"/>
      <c r="C754" s="3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>
      <c r="A755" s="1"/>
      <c r="B755" s="7"/>
      <c r="C755" s="3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>
      <c r="A756" s="1"/>
      <c r="B756" s="7"/>
      <c r="C756" s="3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>
      <c r="A757" s="1"/>
      <c r="B757" s="7"/>
      <c r="C757" s="3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>
      <c r="A758" s="1"/>
      <c r="B758" s="7"/>
      <c r="C758" s="3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>
      <c r="A759" s="1"/>
      <c r="B759" s="7"/>
      <c r="C759" s="3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>
      <c r="A760" s="1"/>
      <c r="B760" s="7"/>
      <c r="C760" s="3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>
      <c r="A761" s="1"/>
      <c r="B761" s="7"/>
      <c r="C761" s="3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>
      <c r="A762" s="1"/>
      <c r="B762" s="7"/>
      <c r="C762" s="3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>
      <c r="A763" s="1"/>
      <c r="B763" s="7"/>
      <c r="C763" s="3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>
      <c r="A764" s="1"/>
      <c r="B764" s="7"/>
      <c r="C764" s="3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>
      <c r="A765" s="1"/>
      <c r="B765" s="7"/>
      <c r="C765" s="3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>
      <c r="A766" s="1"/>
      <c r="B766" s="7"/>
      <c r="C766" s="3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>
      <c r="A767" s="1"/>
      <c r="B767" s="7"/>
      <c r="C767" s="3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>
      <c r="A768" s="1"/>
      <c r="B768" s="7"/>
      <c r="C768" s="3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>
      <c r="A769" s="1"/>
      <c r="B769" s="7"/>
      <c r="C769" s="3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>
      <c r="A770" s="1"/>
      <c r="B770" s="7"/>
      <c r="C770" s="3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>
      <c r="A771" s="1"/>
      <c r="B771" s="7"/>
      <c r="C771" s="3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>
      <c r="A772" s="1"/>
      <c r="B772" s="7"/>
      <c r="C772" s="3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>
      <c r="A773" s="1"/>
      <c r="B773" s="7"/>
      <c r="C773" s="3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>
      <c r="A774" s="1"/>
      <c r="B774" s="7"/>
      <c r="C774" s="3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>
      <c r="A775" s="1"/>
      <c r="B775" s="7"/>
      <c r="C775" s="3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>
      <c r="A776" s="1"/>
      <c r="B776" s="7"/>
      <c r="C776" s="3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>
      <c r="A777" s="1"/>
      <c r="B777" s="7"/>
      <c r="C777" s="3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>
      <c r="A778" s="1"/>
      <c r="B778" s="7"/>
      <c r="C778" s="3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>
      <c r="A779" s="1"/>
      <c r="B779" s="7"/>
      <c r="C779" s="3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>
      <c r="A780" s="1"/>
      <c r="B780" s="7"/>
      <c r="C780" s="3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>
      <c r="A781" s="1"/>
      <c r="B781" s="7"/>
      <c r="C781" s="3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>
      <c r="A782" s="1"/>
      <c r="B782" s="7"/>
      <c r="C782" s="3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>
      <c r="A783" s="1"/>
      <c r="B783" s="7"/>
      <c r="C783" s="3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>
      <c r="A784" s="1"/>
      <c r="B784" s="7"/>
      <c r="C784" s="3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>
      <c r="A785" s="1"/>
      <c r="B785" s="7"/>
      <c r="C785" s="3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>
      <c r="A786" s="1"/>
      <c r="B786" s="7"/>
      <c r="C786" s="3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>
      <c r="A787" s="1"/>
      <c r="B787" s="7"/>
      <c r="C787" s="3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>
      <c r="A788" s="1"/>
      <c r="B788" s="7"/>
      <c r="C788" s="3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>
      <c r="A789" s="1"/>
      <c r="B789" s="7"/>
      <c r="C789" s="3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>
      <c r="A790" s="1"/>
      <c r="B790" s="7"/>
      <c r="C790" s="3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>
      <c r="A791" s="1"/>
      <c r="B791" s="7"/>
      <c r="C791" s="3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>
      <c r="A792" s="1"/>
      <c r="B792" s="7"/>
      <c r="C792" s="3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>
      <c r="A793" s="1"/>
      <c r="B793" s="7"/>
      <c r="C793" s="3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>
      <c r="A794" s="1"/>
      <c r="B794" s="7"/>
      <c r="C794" s="3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>
      <c r="A795" s="1"/>
      <c r="B795" s="7"/>
      <c r="C795" s="3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>
      <c r="A796" s="1"/>
      <c r="B796" s="7"/>
      <c r="C796" s="3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>
      <c r="A797" s="1"/>
      <c r="B797" s="7"/>
      <c r="C797" s="3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>
      <c r="A798" s="1"/>
      <c r="B798" s="7"/>
      <c r="C798" s="3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>
      <c r="A799" s="1"/>
      <c r="B799" s="7"/>
      <c r="C799" s="3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>
      <c r="A800" s="1"/>
      <c r="B800" s="7"/>
      <c r="C800" s="3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>
      <c r="A801" s="1"/>
      <c r="B801" s="7"/>
      <c r="C801" s="3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>
      <c r="A802" s="1"/>
      <c r="B802" s="7"/>
      <c r="C802" s="3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>
      <c r="A803" s="1"/>
      <c r="B803" s="7"/>
      <c r="C803" s="3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>
      <c r="A804" s="1"/>
      <c r="B804" s="7"/>
      <c r="C804" s="3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>
      <c r="A805" s="1"/>
      <c r="B805" s="7"/>
      <c r="C805" s="3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>
      <c r="A806" s="1"/>
      <c r="B806" s="7"/>
      <c r="C806" s="3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>
      <c r="A807" s="1"/>
      <c r="B807" s="7"/>
      <c r="C807" s="3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>
      <c r="A808" s="1"/>
      <c r="B808" s="7"/>
      <c r="C808" s="3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>
      <c r="A809" s="1"/>
      <c r="B809" s="7"/>
      <c r="C809" s="3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>
      <c r="A810" s="1"/>
      <c r="B810" s="7"/>
      <c r="C810" s="3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>
      <c r="A811" s="1"/>
      <c r="B811" s="7"/>
      <c r="C811" s="3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>
      <c r="A812" s="1"/>
      <c r="B812" s="7"/>
      <c r="C812" s="3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>
      <c r="A813" s="1"/>
      <c r="B813" s="7"/>
      <c r="C813" s="3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>
      <c r="A814" s="1"/>
      <c r="B814" s="7"/>
      <c r="C814" s="3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>
      <c r="A815" s="1"/>
      <c r="B815" s="7"/>
      <c r="C815" s="3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>
      <c r="A816" s="1"/>
      <c r="B816" s="7"/>
      <c r="C816" s="3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>
      <c r="A817" s="1"/>
      <c r="B817" s="7"/>
      <c r="C817" s="3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>
      <c r="A818" s="1"/>
      <c r="B818" s="7"/>
      <c r="C818" s="3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>
      <c r="A819" s="1"/>
      <c r="B819" s="7"/>
      <c r="C819" s="3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>
      <c r="A820" s="1"/>
      <c r="B820" s="7"/>
      <c r="C820" s="3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>
      <c r="A821" s="1"/>
      <c r="B821" s="7"/>
      <c r="C821" s="3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>
      <c r="A822" s="1"/>
      <c r="B822" s="7"/>
      <c r="C822" s="3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>
      <c r="A823" s="1"/>
      <c r="B823" s="7"/>
      <c r="C823" s="3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>
      <c r="A824" s="1"/>
      <c r="B824" s="7"/>
      <c r="C824" s="3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>
      <c r="A825" s="1"/>
      <c r="B825" s="7"/>
      <c r="C825" s="3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>
      <c r="A826" s="1"/>
      <c r="B826" s="7"/>
      <c r="C826" s="3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>
      <c r="A827" s="1"/>
      <c r="B827" s="7"/>
      <c r="C827" s="3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>
      <c r="A828" s="1"/>
      <c r="B828" s="7"/>
      <c r="C828" s="3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>
      <c r="A829" s="1"/>
      <c r="B829" s="7"/>
      <c r="C829" s="3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>
      <c r="A830" s="1"/>
      <c r="B830" s="7"/>
      <c r="C830" s="3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>
      <c r="A831" s="1"/>
      <c r="B831" s="7"/>
      <c r="C831" s="3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>
      <c r="A832" s="1"/>
      <c r="B832" s="7"/>
      <c r="C832" s="3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>
      <c r="A833" s="1"/>
      <c r="B833" s="7"/>
      <c r="C833" s="3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>
      <c r="A834" s="1"/>
      <c r="B834" s="7"/>
      <c r="C834" s="3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>
      <c r="A835" s="1"/>
      <c r="B835" s="7"/>
      <c r="C835" s="3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>
      <c r="A836" s="1"/>
      <c r="B836" s="7"/>
      <c r="C836" s="3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>
      <c r="A837" s="1"/>
      <c r="B837" s="7"/>
      <c r="C837" s="3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>
      <c r="A838" s="1"/>
      <c r="B838" s="7"/>
      <c r="C838" s="3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>
      <c r="A839" s="1"/>
      <c r="B839" s="7"/>
      <c r="C839" s="3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>
      <c r="A840" s="1"/>
      <c r="B840" s="7"/>
      <c r="C840" s="3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>
      <c r="A841" s="1"/>
      <c r="B841" s="7"/>
      <c r="C841" s="3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>
      <c r="A842" s="1"/>
      <c r="B842" s="7"/>
      <c r="C842" s="3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>
      <c r="A843" s="1"/>
      <c r="B843" s="7"/>
      <c r="C843" s="3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>
      <c r="A844" s="1"/>
      <c r="B844" s="7"/>
      <c r="C844" s="3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>
      <c r="A845" s="1"/>
      <c r="B845" s="7"/>
      <c r="C845" s="3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>
      <c r="A846" s="1"/>
      <c r="B846" s="7"/>
      <c r="C846" s="3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>
      <c r="A847" s="1"/>
      <c r="B847" s="7"/>
      <c r="C847" s="3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>
      <c r="A848" s="1"/>
      <c r="B848" s="7"/>
      <c r="C848" s="3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>
      <c r="A849" s="1"/>
      <c r="B849" s="7"/>
      <c r="C849" s="3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>
      <c r="A850" s="1"/>
      <c r="B850" s="7"/>
      <c r="C850" s="3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>
      <c r="A851" s="1"/>
      <c r="B851" s="7"/>
      <c r="C851" s="3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>
      <c r="A852" s="1"/>
      <c r="B852" s="7"/>
      <c r="C852" s="3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>
      <c r="A853" s="1"/>
      <c r="B853" s="7"/>
      <c r="C853" s="3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>
      <c r="A854" s="1"/>
      <c r="B854" s="7"/>
      <c r="C854" s="3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>
      <c r="A855" s="1"/>
      <c r="B855" s="7"/>
      <c r="C855" s="3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>
      <c r="A856" s="1"/>
      <c r="B856" s="7"/>
      <c r="C856" s="3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>
      <c r="A857" s="1"/>
      <c r="B857" s="7"/>
      <c r="C857" s="3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>
      <c r="A858" s="1"/>
      <c r="B858" s="7"/>
      <c r="C858" s="3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>
      <c r="A859" s="1"/>
      <c r="B859" s="7"/>
      <c r="C859" s="3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>
      <c r="A860" s="1"/>
      <c r="B860" s="7"/>
      <c r="C860" s="3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>
      <c r="A861" s="1"/>
      <c r="B861" s="7"/>
      <c r="C861" s="3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>
      <c r="A862" s="1"/>
      <c r="B862" s="7"/>
      <c r="C862" s="3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>
      <c r="A863" s="1"/>
      <c r="B863" s="7"/>
      <c r="C863" s="3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>
      <c r="A864" s="1"/>
      <c r="B864" s="7"/>
      <c r="C864" s="3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>
      <c r="A865" s="1"/>
      <c r="B865" s="7"/>
      <c r="C865" s="3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>
      <c r="A866" s="1"/>
      <c r="B866" s="7"/>
      <c r="C866" s="3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>
      <c r="A867" s="1"/>
      <c r="B867" s="7"/>
      <c r="C867" s="3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>
      <c r="A868" s="1"/>
      <c r="B868" s="7"/>
      <c r="C868" s="3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>
      <c r="A869" s="1"/>
      <c r="B869" s="7"/>
      <c r="C869" s="3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>
      <c r="A870" s="1"/>
      <c r="B870" s="7"/>
      <c r="C870" s="3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>
      <c r="A871" s="1"/>
      <c r="B871" s="7"/>
      <c r="C871" s="3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>
      <c r="A872" s="1"/>
      <c r="B872" s="7"/>
      <c r="C872" s="3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>
      <c r="A873" s="1"/>
      <c r="B873" s="7"/>
      <c r="C873" s="3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>
      <c r="A874" s="1"/>
      <c r="B874" s="7"/>
      <c r="C874" s="3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>
      <c r="A875" s="1"/>
      <c r="B875" s="7"/>
      <c r="C875" s="3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>
      <c r="A876" s="1"/>
      <c r="B876" s="7"/>
      <c r="C876" s="3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>
      <c r="A877" s="1"/>
      <c r="B877" s="7"/>
      <c r="C877" s="3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>
      <c r="A878" s="1"/>
      <c r="B878" s="7"/>
      <c r="C878" s="3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>
      <c r="A879" s="1"/>
      <c r="B879" s="7"/>
      <c r="C879" s="3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>
      <c r="A880" s="1"/>
      <c r="B880" s="7"/>
      <c r="C880" s="3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>
      <c r="A881" s="1"/>
      <c r="B881" s="7"/>
      <c r="C881" s="3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>
      <c r="A882" s="1"/>
      <c r="B882" s="7"/>
      <c r="C882" s="3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>
      <c r="A883" s="1"/>
      <c r="B883" s="7"/>
      <c r="C883" s="3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>
      <c r="A884" s="1"/>
      <c r="B884" s="7"/>
      <c r="C884" s="3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>
      <c r="A885" s="1"/>
      <c r="B885" s="7"/>
      <c r="C885" s="3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>
      <c r="A886" s="1"/>
      <c r="B886" s="7"/>
      <c r="C886" s="3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>
      <c r="A887" s="1"/>
      <c r="B887" s="7"/>
      <c r="C887" s="3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>
      <c r="A888" s="1"/>
      <c r="B888" s="7"/>
      <c r="C888" s="3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>
      <c r="A889" s="1"/>
      <c r="B889" s="7"/>
      <c r="C889" s="3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>
      <c r="A890" s="1"/>
      <c r="B890" s="7"/>
      <c r="C890" s="3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>
      <c r="A891" s="1"/>
      <c r="B891" s="7"/>
      <c r="C891" s="3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>
      <c r="A892" s="1"/>
      <c r="B892" s="7"/>
      <c r="C892" s="3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>
      <c r="A893" s="1"/>
      <c r="B893" s="7"/>
      <c r="C893" s="3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>
      <c r="A894" s="1"/>
      <c r="B894" s="7"/>
      <c r="C894" s="3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>
      <c r="A895" s="1"/>
      <c r="B895" s="7"/>
      <c r="C895" s="3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>
      <c r="A896" s="1"/>
      <c r="B896" s="7"/>
      <c r="C896" s="3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>
      <c r="A897" s="1"/>
      <c r="B897" s="7"/>
      <c r="C897" s="3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>
      <c r="A898" s="1"/>
      <c r="B898" s="7"/>
      <c r="C898" s="3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>
      <c r="A899" s="1"/>
      <c r="B899" s="7"/>
      <c r="C899" s="3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>
      <c r="A900" s="1"/>
      <c r="B900" s="7"/>
      <c r="C900" s="3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>
      <c r="A901" s="1"/>
      <c r="B901" s="7"/>
      <c r="C901" s="3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>
      <c r="A902" s="1"/>
      <c r="B902" s="7"/>
      <c r="C902" s="3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>
      <c r="A903" s="1"/>
      <c r="B903" s="7"/>
      <c r="C903" s="3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>
      <c r="A904" s="1"/>
      <c r="B904" s="7"/>
      <c r="C904" s="3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>
      <c r="A905" s="1"/>
      <c r="B905" s="7"/>
      <c r="C905" s="3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>
      <c r="A906" s="1"/>
      <c r="B906" s="7"/>
      <c r="C906" s="3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>
      <c r="A907" s="1"/>
      <c r="B907" s="7"/>
      <c r="C907" s="3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>
      <c r="A908" s="1"/>
      <c r="B908" s="7"/>
      <c r="C908" s="3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>
      <c r="A909" s="1"/>
      <c r="B909" s="7"/>
      <c r="C909" s="3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>
      <c r="A910" s="1"/>
      <c r="B910" s="7"/>
      <c r="C910" s="3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>
      <c r="A911" s="1"/>
      <c r="B911" s="7"/>
      <c r="C911" s="3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>
      <c r="A912" s="1"/>
      <c r="B912" s="7"/>
      <c r="C912" s="3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>
      <c r="A913" s="1"/>
      <c r="B913" s="7"/>
      <c r="C913" s="3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>
      <c r="A914" s="1"/>
      <c r="B914" s="7"/>
      <c r="C914" s="3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>
      <c r="A915" s="1"/>
      <c r="B915" s="7"/>
      <c r="C915" s="3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>
      <c r="A916" s="1"/>
      <c r="B916" s="7"/>
      <c r="C916" s="3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>
      <c r="A917" s="1"/>
      <c r="B917" s="7"/>
      <c r="C917" s="3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>
      <c r="A918" s="1"/>
      <c r="B918" s="7"/>
      <c r="C918" s="3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>
      <c r="A919" s="1"/>
      <c r="B919" s="7"/>
      <c r="C919" s="3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>
      <c r="A920" s="1"/>
      <c r="B920" s="7"/>
      <c r="C920" s="3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>
      <c r="A921" s="1"/>
      <c r="B921" s="7"/>
      <c r="C921" s="3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>
      <c r="A922" s="1"/>
      <c r="B922" s="7"/>
      <c r="C922" s="3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>
      <c r="A923" s="1"/>
      <c r="B923" s="7"/>
      <c r="C923" s="3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>
      <c r="A924" s="1"/>
      <c r="B924" s="7"/>
      <c r="C924" s="3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>
      <c r="A925" s="1"/>
      <c r="B925" s="7"/>
      <c r="C925" s="3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>
      <c r="A926" s="1"/>
      <c r="B926" s="7"/>
      <c r="C926" s="3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>
      <c r="A927" s="1"/>
      <c r="B927" s="7"/>
      <c r="C927" s="3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>
      <c r="A928" s="1"/>
      <c r="B928" s="7"/>
      <c r="C928" s="3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>
      <c r="A929" s="1"/>
      <c r="B929" s="7"/>
      <c r="C929" s="3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>
      <c r="A930" s="1"/>
      <c r="B930" s="7"/>
      <c r="C930" s="3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>
      <c r="A931" s="1"/>
      <c r="B931" s="7"/>
      <c r="C931" s="3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>
      <c r="A932" s="1"/>
      <c r="B932" s="7"/>
      <c r="C932" s="3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>
      <c r="A933" s="1"/>
      <c r="B933" s="7"/>
      <c r="C933" s="3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>
      <c r="A934" s="1"/>
      <c r="B934" s="7"/>
      <c r="C934" s="3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>
      <c r="A935" s="1"/>
      <c r="B935" s="7"/>
      <c r="C935" s="3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>
      <c r="A936" s="1"/>
      <c r="B936" s="7"/>
      <c r="C936" s="3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>
      <c r="A937" s="1"/>
      <c r="B937" s="7"/>
      <c r="C937" s="3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>
      <c r="A938" s="1"/>
      <c r="B938" s="7"/>
      <c r="C938" s="3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>
      <c r="A939" s="1"/>
      <c r="B939" s="7"/>
      <c r="C939" s="3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>
      <c r="A940" s="1"/>
      <c r="B940" s="7"/>
      <c r="C940" s="3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>
      <c r="A941" s="1"/>
      <c r="B941" s="7"/>
      <c r="C941" s="3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>
      <c r="A942" s="1"/>
      <c r="B942" s="7"/>
      <c r="C942" s="3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>
      <c r="A943" s="1"/>
      <c r="B943" s="7"/>
      <c r="C943" s="3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>
      <c r="A944" s="1"/>
      <c r="B944" s="7"/>
      <c r="C944" s="3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>
      <c r="A945" s="1"/>
      <c r="B945" s="7"/>
      <c r="C945" s="3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>
      <c r="A946" s="1"/>
      <c r="B946" s="7"/>
      <c r="C946" s="3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>
      <c r="A947" s="1"/>
      <c r="B947" s="7"/>
      <c r="C947" s="3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>
      <c r="A948" s="1"/>
      <c r="B948" s="7"/>
      <c r="C948" s="3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>
      <c r="A949" s="1"/>
      <c r="B949" s="7"/>
      <c r="C949" s="3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>
      <c r="A950" s="1"/>
      <c r="B950" s="7"/>
      <c r="C950" s="3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>
      <c r="A951" s="1"/>
      <c r="B951" s="7"/>
      <c r="C951" s="3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>
      <c r="A952" s="1"/>
      <c r="B952" s="7"/>
      <c r="C952" s="3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>
      <c r="A953" s="1"/>
      <c r="B953" s="7"/>
      <c r="C953" s="3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>
      <c r="A954" s="1"/>
      <c r="B954" s="7"/>
      <c r="C954" s="3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>
      <c r="A955" s="1"/>
      <c r="B955" s="7"/>
      <c r="C955" s="3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>
      <c r="A956" s="1"/>
      <c r="B956" s="7"/>
      <c r="C956" s="3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>
      <c r="A957" s="1"/>
      <c r="B957" s="7"/>
      <c r="C957" s="3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>
      <c r="A958" s="1"/>
      <c r="B958" s="7"/>
      <c r="C958" s="3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>
      <c r="A959" s="1"/>
      <c r="B959" s="7"/>
      <c r="C959" s="3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>
      <c r="A960" s="1"/>
      <c r="B960" s="7"/>
      <c r="C960" s="3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>
      <c r="A961" s="1"/>
      <c r="B961" s="7"/>
      <c r="C961" s="3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>
      <c r="A962" s="1"/>
      <c r="B962" s="7"/>
      <c r="C962" s="3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>
      <c r="A963" s="1"/>
      <c r="B963" s="7"/>
      <c r="C963" s="3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>
      <c r="A964" s="1"/>
      <c r="B964" s="7"/>
      <c r="C964" s="3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>
      <c r="A965" s="1"/>
      <c r="B965" s="7"/>
      <c r="C965" s="3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>
      <c r="A966" s="1"/>
      <c r="B966" s="7"/>
      <c r="C966" s="3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>
      <c r="A967" s="1"/>
      <c r="B967" s="7"/>
      <c r="C967" s="3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>
      <c r="A968" s="1"/>
      <c r="B968" s="7"/>
      <c r="C968" s="3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>
      <c r="A969" s="1"/>
      <c r="B969" s="7"/>
      <c r="C969" s="3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>
      <c r="A970" s="1"/>
      <c r="B970" s="7"/>
      <c r="C970" s="3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>
      <c r="A971" s="1"/>
      <c r="B971" s="7"/>
      <c r="C971" s="3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>
      <c r="A972" s="1"/>
      <c r="B972" s="7"/>
      <c r="C972" s="3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>
      <c r="A973" s="1"/>
      <c r="B973" s="7"/>
      <c r="C973" s="3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>
      <c r="A974" s="1"/>
      <c r="B974" s="7"/>
      <c r="C974" s="3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>
      <c r="A975" s="1"/>
      <c r="B975" s="7"/>
      <c r="C975" s="3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>
      <c r="A976" s="1"/>
      <c r="B976" s="7"/>
      <c r="C976" s="3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>
      <c r="A977" s="1"/>
      <c r="B977" s="7"/>
      <c r="C977" s="3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>
      <c r="A978" s="1"/>
      <c r="B978" s="7"/>
      <c r="C978" s="3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>
      <c r="A979" s="1"/>
      <c r="B979" s="7"/>
      <c r="C979" s="3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>
      <c r="A980" s="1"/>
      <c r="B980" s="7"/>
      <c r="C980" s="3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>
      <c r="A981" s="1"/>
      <c r="B981" s="7"/>
      <c r="C981" s="3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>
      <c r="A982" s="1"/>
      <c r="B982" s="7"/>
      <c r="C982" s="3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>
      <c r="A983" s="1"/>
      <c r="B983" s="7"/>
      <c r="C983" s="3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>
      <c r="A984" s="1"/>
      <c r="B984" s="7"/>
      <c r="C984" s="3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>
      <c r="A985" s="1"/>
      <c r="B985" s="7"/>
      <c r="C985" s="3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>
      <c r="A986" s="1"/>
      <c r="B986" s="7"/>
      <c r="C986" s="3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>
      <c r="A987" s="1"/>
      <c r="B987" s="7"/>
      <c r="C987" s="3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>
      <c r="A988" s="1"/>
      <c r="B988" s="7"/>
      <c r="C988" s="3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>
      <c r="A989" s="1"/>
      <c r="B989" s="7"/>
      <c r="C989" s="3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>
      <c r="A990" s="1"/>
      <c r="B990" s="7"/>
      <c r="C990" s="3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>
      <c r="A991" s="1"/>
      <c r="B991" s="7"/>
      <c r="C991" s="3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>
      <c r="A992" s="1"/>
      <c r="B992" s="7"/>
      <c r="C992" s="3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>
      <c r="A993" s="1"/>
      <c r="B993" s="7"/>
      <c r="C993" s="3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5">
      <c r="A994" s="1"/>
      <c r="B994" s="7"/>
      <c r="C994" s="3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5">
      <c r="A995" s="1"/>
      <c r="B995" s="7"/>
      <c r="C995" s="3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5">
      <c r="A996" s="1"/>
      <c r="B996" s="7"/>
      <c r="C996" s="3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5">
      <c r="A997" s="1"/>
      <c r="B997" s="7"/>
      <c r="C997" s="3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5">
      <c r="A998" s="1"/>
      <c r="B998" s="7"/>
      <c r="C998" s="3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5">
      <c r="A999" s="1"/>
      <c r="B999" s="7"/>
      <c r="C999" s="3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5">
      <c r="A1000" s="1"/>
      <c r="B1000" s="7"/>
      <c r="C1000" s="3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5">
      <c r="A1001" s="1"/>
      <c r="B1001" s="7"/>
      <c r="C1001" s="3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5">
      <c r="A1002" s="1"/>
      <c r="B1002" s="7"/>
      <c r="C1002" s="3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5">
      <c r="A1003" s="1"/>
      <c r="B1003" s="7"/>
      <c r="C1003" s="3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5">
      <c r="A1004" s="1"/>
      <c r="B1004" s="7"/>
      <c r="C1004" s="3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5">
      <c r="A1005" s="1"/>
      <c r="B1005" s="7"/>
      <c r="C1005" s="3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5">
      <c r="A1006" s="1"/>
      <c r="B1006" s="7"/>
      <c r="C1006" s="3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5">
      <c r="A1007" s="1"/>
      <c r="B1007" s="7"/>
      <c r="C1007" s="3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5">
      <c r="A1008" s="1"/>
      <c r="B1008" s="7"/>
      <c r="C1008" s="3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5">
      <c r="A1009" s="1"/>
      <c r="B1009" s="7"/>
      <c r="C1009" s="3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5">
      <c r="A1010" s="1"/>
      <c r="B1010" s="7"/>
      <c r="C1010" s="3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5">
      <c r="A1011" s="1"/>
      <c r="B1011" s="7"/>
      <c r="C1011" s="3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5">
      <c r="A1012" s="1"/>
      <c r="B1012" s="7"/>
      <c r="C1012" s="3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5">
      <c r="A1013" s="1"/>
      <c r="B1013" s="7"/>
      <c r="C1013" s="3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5">
      <c r="A1014" s="1"/>
      <c r="B1014" s="7"/>
      <c r="C1014" s="3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5">
      <c r="A1015" s="1"/>
      <c r="B1015" s="7"/>
      <c r="C1015" s="3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5">
      <c r="A1016" s="1"/>
      <c r="B1016" s="7"/>
      <c r="C1016" s="3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5">
      <c r="A1017" s="1"/>
      <c r="B1017" s="7"/>
      <c r="C1017" s="3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5">
      <c r="A1018" s="1"/>
      <c r="B1018" s="7"/>
      <c r="C1018" s="3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5">
      <c r="A1019" s="1"/>
      <c r="B1019" s="7"/>
      <c r="C1019" s="3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5">
      <c r="A1020" s="1"/>
      <c r="B1020" s="7"/>
      <c r="C1020" s="3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5">
      <c r="A1021" s="1"/>
      <c r="B1021" s="7"/>
      <c r="C1021" s="3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5">
      <c r="A1022" s="1"/>
      <c r="B1022" s="7"/>
      <c r="C1022" s="3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5">
      <c r="A1023" s="1"/>
      <c r="B1023" s="7"/>
      <c r="C1023" s="3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5">
      <c r="A1024" s="1"/>
      <c r="B1024" s="7"/>
      <c r="C1024" s="3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5">
      <c r="A1025" s="1"/>
      <c r="B1025" s="7"/>
      <c r="C1025" s="3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5">
      <c r="A1026" s="1"/>
      <c r="B1026" s="7"/>
      <c r="C1026" s="3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5">
      <c r="A1027" s="1"/>
      <c r="B1027" s="7"/>
      <c r="C1027" s="3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5">
      <c r="A1028" s="1"/>
      <c r="B1028" s="7"/>
      <c r="C1028" s="3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5">
      <c r="A1029" s="1"/>
      <c r="B1029" s="7"/>
      <c r="C1029" s="3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5">
      <c r="A1030" s="1"/>
      <c r="B1030" s="7"/>
      <c r="C1030" s="3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5">
      <c r="A1031" s="1"/>
      <c r="B1031" s="7"/>
      <c r="C1031" s="3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5">
      <c r="A1032" s="1"/>
      <c r="B1032" s="7"/>
      <c r="C1032" s="3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5">
      <c r="A1033" s="1"/>
      <c r="B1033" s="7"/>
      <c r="C1033" s="3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5">
      <c r="A1034" s="1"/>
      <c r="B1034" s="7"/>
      <c r="C1034" s="3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5">
      <c r="A1035" s="1"/>
      <c r="B1035" s="7"/>
      <c r="C1035" s="3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5">
      <c r="A1036" s="1"/>
      <c r="B1036" s="7"/>
      <c r="C1036" s="3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5">
      <c r="A1037" s="1"/>
      <c r="B1037" s="7"/>
      <c r="C1037" s="3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5">
      <c r="A1038" s="1"/>
      <c r="B1038" s="7"/>
      <c r="C1038" s="3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5">
      <c r="A1039" s="1"/>
      <c r="B1039" s="7"/>
      <c r="C1039" s="3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5">
      <c r="A1040" s="1"/>
      <c r="B1040" s="7"/>
      <c r="C1040" s="3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5">
      <c r="A1041" s="1"/>
      <c r="B1041" s="7"/>
      <c r="C1041" s="3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5">
      <c r="A1042" s="1"/>
      <c r="B1042" s="7"/>
      <c r="C1042" s="3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5">
      <c r="A1043" s="1"/>
      <c r="B1043" s="7"/>
      <c r="C1043" s="3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5">
      <c r="A1044" s="1"/>
      <c r="B1044" s="7"/>
      <c r="C1044" s="3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5">
      <c r="A1045" s="1"/>
      <c r="B1045" s="7"/>
      <c r="C1045" s="3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5">
      <c r="A1046" s="1"/>
      <c r="B1046" s="7"/>
      <c r="C1046" s="3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5">
      <c r="A1047" s="1"/>
      <c r="B1047" s="7"/>
      <c r="C1047" s="3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5">
      <c r="A1048" s="1"/>
      <c r="B1048" s="7"/>
      <c r="C1048" s="3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5">
      <c r="A1049" s="1"/>
      <c r="B1049" s="7"/>
      <c r="C1049" s="3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5">
      <c r="A1050" s="1"/>
      <c r="B1050" s="7"/>
      <c r="C1050" s="3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5">
      <c r="A1051" s="1"/>
      <c r="B1051" s="7"/>
      <c r="C1051" s="3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5">
      <c r="A1052" s="1"/>
      <c r="B1052" s="7"/>
      <c r="C1052" s="3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5">
      <c r="A1053" s="1"/>
      <c r="B1053" s="7"/>
      <c r="C1053" s="3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5">
      <c r="A1054" s="1"/>
      <c r="B1054" s="7"/>
      <c r="C1054" s="3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4.5">
      <c r="A1055" s="1"/>
      <c r="B1055" s="7"/>
      <c r="C1055" s="3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4.5">
      <c r="A1056" s="1"/>
      <c r="B1056" s="7"/>
      <c r="C1056" s="3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4.5">
      <c r="A1057" s="1"/>
      <c r="B1057" s="7"/>
      <c r="C1057" s="3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4.5">
      <c r="A1058" s="1"/>
      <c r="B1058" s="7"/>
      <c r="C1058" s="3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4.5">
      <c r="A1059" s="1"/>
      <c r="B1059" s="7"/>
      <c r="C1059" s="3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4.5">
      <c r="A1060" s="1"/>
      <c r="B1060" s="7"/>
      <c r="C1060" s="3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4.5">
      <c r="A1061" s="1"/>
      <c r="B1061" s="7"/>
      <c r="C1061" s="3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4.5">
      <c r="A1062" s="1"/>
      <c r="B1062" s="7"/>
      <c r="C1062" s="3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4.5">
      <c r="A1063" s="1"/>
      <c r="B1063" s="7"/>
      <c r="C1063" s="3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4.5">
      <c r="A1064" s="1"/>
      <c r="B1064" s="7"/>
      <c r="C1064" s="3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4.5">
      <c r="A1065" s="1"/>
      <c r="B1065" s="7"/>
      <c r="C1065" s="3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</sheetData>
  <mergeCells count="6">
    <mergeCell ref="B39:B40"/>
    <mergeCell ref="B2:C2"/>
    <mergeCell ref="B26:B27"/>
    <mergeCell ref="B30:B32"/>
    <mergeCell ref="B34:B36"/>
    <mergeCell ref="B37:B38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011"/>
  <sheetViews>
    <sheetView topLeftCell="A7" workbookViewId="0">
      <pane xSplit="3" topLeftCell="D1" activePane="topRight" state="frozen"/>
      <selection pane="topRight" activeCell="P15" sqref="P15"/>
    </sheetView>
  </sheetViews>
  <sheetFormatPr defaultColWidth="14.453125" defaultRowHeight="15" customHeight="1"/>
  <cols>
    <col min="1" max="1" width="2.453125" customWidth="1"/>
    <col min="2" max="2" width="23.54296875" customWidth="1"/>
    <col min="3" max="3" width="17.81640625" customWidth="1"/>
    <col min="4" max="4" width="12.7265625" customWidth="1"/>
    <col min="5" max="5" width="14" customWidth="1"/>
    <col min="6" max="6" width="14.7265625" customWidth="1"/>
    <col min="7" max="7" width="13.81640625" customWidth="1"/>
    <col min="8" max="8" width="14.81640625" customWidth="1"/>
    <col min="9" max="9" width="13.26953125" customWidth="1"/>
    <col min="10" max="11" width="13.81640625" customWidth="1"/>
    <col min="12" max="12" width="13.26953125" customWidth="1"/>
    <col min="13" max="13" width="12" customWidth="1"/>
    <col min="14" max="14" width="15.54296875" customWidth="1"/>
    <col min="15" max="15" width="15.81640625" customWidth="1"/>
    <col min="16" max="16" width="15.54296875" customWidth="1"/>
    <col min="17" max="17" width="13.81640625" customWidth="1"/>
    <col min="18" max="27" width="10.7265625" customWidth="1"/>
  </cols>
  <sheetData>
    <row r="1" spans="2:17" ht="18.5">
      <c r="B1" s="38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2:17" ht="14.5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7" ht="18.5">
      <c r="B3" s="39" t="s">
        <v>165</v>
      </c>
      <c r="C3" s="40" t="s">
        <v>29</v>
      </c>
      <c r="D3" s="41">
        <f>'Billet and Gauge'!C130</f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8.5">
      <c r="B4" s="42"/>
      <c r="C4" s="40" t="s">
        <v>177</v>
      </c>
      <c r="D4" s="41">
        <v>3500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18.5">
      <c r="B5" s="42"/>
      <c r="C5" s="40" t="s">
        <v>178</v>
      </c>
      <c r="D5" s="18">
        <f>'Billet and Gauge'!C9</f>
        <v>38511</v>
      </c>
      <c r="E5" s="18">
        <f>'Billet and Gauge'!C9</f>
        <v>38511</v>
      </c>
      <c r="F5" s="18">
        <f>'Billet and Gauge'!D9</f>
        <v>44511</v>
      </c>
      <c r="G5" s="18">
        <f>'Billet and Gauge'!D9</f>
        <v>44511</v>
      </c>
      <c r="H5" s="18">
        <f>'Billet and Gauge'!K9</f>
        <v>47250</v>
      </c>
      <c r="I5" s="18">
        <f>'Billet and Gauge'!J9</f>
        <v>46750</v>
      </c>
      <c r="J5" s="18">
        <f>'Billet and Gauge'!J9</f>
        <v>46750</v>
      </c>
      <c r="K5" s="18">
        <f>'Billet and Gauge'!J9</f>
        <v>46750</v>
      </c>
      <c r="L5" s="18">
        <f>'Billet and Gauge'!F9</f>
        <v>48511</v>
      </c>
      <c r="M5" s="18">
        <f>'Billet and Gauge'!E9</f>
        <v>42511</v>
      </c>
      <c r="N5" s="18">
        <f>'Billet and Gauge'!G9</f>
        <v>44011</v>
      </c>
      <c r="O5" s="18">
        <f>'Billet and Gauge'!E9</f>
        <v>42511</v>
      </c>
      <c r="P5" s="18">
        <f>'Billet and Gauge'!M9</f>
        <v>50000</v>
      </c>
    </row>
    <row r="6" spans="2:17" ht="18.5">
      <c r="B6" s="42"/>
      <c r="C6" s="40" t="s">
        <v>179</v>
      </c>
      <c r="D6" s="41">
        <f t="shared" ref="D6:G6" si="0">385+250+85</f>
        <v>720</v>
      </c>
      <c r="E6" s="41">
        <f t="shared" si="0"/>
        <v>720</v>
      </c>
      <c r="F6" s="41">
        <f t="shared" si="0"/>
        <v>720</v>
      </c>
      <c r="G6" s="41">
        <f t="shared" si="0"/>
        <v>720</v>
      </c>
      <c r="H6" s="41">
        <v>1250</v>
      </c>
      <c r="I6" s="41">
        <f t="shared" ref="I6:M6" si="1">385+250+85</f>
        <v>720</v>
      </c>
      <c r="J6" s="41">
        <f t="shared" si="1"/>
        <v>720</v>
      </c>
      <c r="K6" s="41">
        <v>1250</v>
      </c>
      <c r="L6" s="41">
        <f t="shared" si="1"/>
        <v>720</v>
      </c>
      <c r="M6" s="41">
        <f t="shared" si="1"/>
        <v>720</v>
      </c>
      <c r="N6" s="41">
        <v>1250</v>
      </c>
      <c r="O6" s="41">
        <f>385+250+85</f>
        <v>720</v>
      </c>
      <c r="P6" s="41">
        <v>1100</v>
      </c>
    </row>
    <row r="7" spans="2:17" ht="18.5">
      <c r="B7" s="42"/>
      <c r="C7" s="40" t="s">
        <v>180</v>
      </c>
      <c r="D7" s="43" t="s">
        <v>181</v>
      </c>
      <c r="E7" s="43" t="s">
        <v>181</v>
      </c>
      <c r="F7" s="43" t="s">
        <v>181</v>
      </c>
      <c r="G7" s="43" t="s">
        <v>181</v>
      </c>
      <c r="H7" s="43" t="s">
        <v>182</v>
      </c>
      <c r="I7" s="43" t="s">
        <v>182</v>
      </c>
      <c r="J7" s="43" t="s">
        <v>182</v>
      </c>
      <c r="K7" s="43" t="s">
        <v>182</v>
      </c>
      <c r="L7" s="43" t="s">
        <v>183</v>
      </c>
      <c r="M7" s="43" t="s">
        <v>183</v>
      </c>
      <c r="N7" s="43" t="s">
        <v>184</v>
      </c>
      <c r="O7" s="43" t="s">
        <v>185</v>
      </c>
      <c r="P7" s="43" t="s">
        <v>186</v>
      </c>
    </row>
    <row r="8" spans="2:17" ht="18.5">
      <c r="B8" s="38" t="s">
        <v>46</v>
      </c>
      <c r="C8" s="39" t="s">
        <v>187</v>
      </c>
      <c r="D8" s="17" t="s">
        <v>188</v>
      </c>
      <c r="E8" s="17" t="s">
        <v>189</v>
      </c>
      <c r="F8" s="17" t="s">
        <v>190</v>
      </c>
      <c r="G8" s="17" t="s">
        <v>191</v>
      </c>
      <c r="H8" s="17" t="s">
        <v>192</v>
      </c>
      <c r="I8" s="17" t="s">
        <v>193</v>
      </c>
      <c r="J8" s="17" t="s">
        <v>194</v>
      </c>
      <c r="K8" s="17" t="s">
        <v>190</v>
      </c>
      <c r="L8" s="17" t="s">
        <v>190</v>
      </c>
      <c r="M8" s="17" t="s">
        <v>195</v>
      </c>
      <c r="N8" s="17" t="s">
        <v>192</v>
      </c>
      <c r="O8" s="17" t="s">
        <v>188</v>
      </c>
      <c r="P8" s="17" t="s">
        <v>196</v>
      </c>
    </row>
    <row r="9" spans="2:17" ht="18.5">
      <c r="B9" s="44" t="s">
        <v>197</v>
      </c>
      <c r="C9" s="44" t="s">
        <v>198</v>
      </c>
      <c r="D9" s="41">
        <f>D5+D6+'Billet and Gauge'!D26</f>
        <v>45731</v>
      </c>
      <c r="E9" s="41">
        <f>E5+E6+'Billet and Gauge'!D26</f>
        <v>45731</v>
      </c>
      <c r="F9" s="41" t="s">
        <v>122</v>
      </c>
      <c r="G9" s="41" t="s">
        <v>122</v>
      </c>
      <c r="H9" s="41">
        <f>H5+H6+'Billet and Gauge'!D42</f>
        <v>58000</v>
      </c>
      <c r="I9" s="41">
        <f>I5+I6+'Billet and Gauge'!D42</f>
        <v>56970</v>
      </c>
      <c r="J9" s="41" t="s">
        <v>122</v>
      </c>
      <c r="K9" s="41">
        <f>K5+K6+'Billet and Gauge'!D42</f>
        <v>57500</v>
      </c>
      <c r="L9" s="41" t="s">
        <v>122</v>
      </c>
      <c r="M9" s="41">
        <f>M5+M6+'Billet and Gauge'!D26</f>
        <v>49731</v>
      </c>
      <c r="N9" s="41">
        <f>N5+N6+'Billet and Gauge'!D42</f>
        <v>54761</v>
      </c>
      <c r="O9" s="41">
        <f>O5+O6+'Billet and Gauge'!D26</f>
        <v>49731</v>
      </c>
      <c r="P9" s="41" t="s">
        <v>122</v>
      </c>
    </row>
    <row r="10" spans="2:17" ht="18.5">
      <c r="B10" s="44" t="s">
        <v>199</v>
      </c>
      <c r="C10" s="44" t="s">
        <v>198</v>
      </c>
      <c r="D10" s="41">
        <f>D5+D6+'Billet and Gauge'!D27</f>
        <v>46031</v>
      </c>
      <c r="E10" s="41">
        <f>E5+E6+'Billet and Gauge'!D27</f>
        <v>46031</v>
      </c>
      <c r="F10" s="41" t="s">
        <v>122</v>
      </c>
      <c r="G10" s="41" t="s">
        <v>122</v>
      </c>
      <c r="H10" s="41">
        <f>H5+H6+'Billet and Gauge'!D42</f>
        <v>58000</v>
      </c>
      <c r="I10" s="41">
        <f>I5+I6+'Billet and Gauge'!D42</f>
        <v>56970</v>
      </c>
      <c r="J10" s="41" t="s">
        <v>122</v>
      </c>
      <c r="K10" s="41">
        <f>K5+K6+'Billet and Gauge'!D42</f>
        <v>57500</v>
      </c>
      <c r="L10" s="41" t="s">
        <v>122</v>
      </c>
      <c r="M10" s="41">
        <f>M5+M6+'Billet and Gauge'!D27</f>
        <v>50031</v>
      </c>
      <c r="N10" s="41">
        <f>N5+N6+'Billet and Gauge'!D42</f>
        <v>54761</v>
      </c>
      <c r="O10" s="41">
        <f>O5+O6+'Billet and Gauge'!D27</f>
        <v>50031</v>
      </c>
      <c r="P10" s="41" t="s">
        <v>122</v>
      </c>
    </row>
    <row r="11" spans="2:17" ht="18.5">
      <c r="B11" s="44" t="s">
        <v>200</v>
      </c>
      <c r="C11" s="44" t="s">
        <v>198</v>
      </c>
      <c r="D11" s="41">
        <f>D5+D6+'Billet and Gauge'!D28</f>
        <v>46931</v>
      </c>
      <c r="E11" s="41">
        <f>E5+E6+'Billet and Gauge'!D28</f>
        <v>46931</v>
      </c>
      <c r="F11" s="41" t="s">
        <v>122</v>
      </c>
      <c r="G11" s="41" t="s">
        <v>122</v>
      </c>
      <c r="H11" s="41">
        <f>H5+H6+'Billet and Gauge'!D42</f>
        <v>58000</v>
      </c>
      <c r="I11" s="41">
        <f>I5+I6+'Billet and Gauge'!D42</f>
        <v>56970</v>
      </c>
      <c r="J11" s="41">
        <f>J5+J6+'Billet and Gauge'!D42</f>
        <v>56970</v>
      </c>
      <c r="K11" s="41">
        <f>K5+K6+'Billet and Gauge'!D42</f>
        <v>57500</v>
      </c>
      <c r="L11" s="41" t="s">
        <v>122</v>
      </c>
      <c r="M11" s="41">
        <f>M5+M6+'Billet and Gauge'!D28</f>
        <v>50931</v>
      </c>
      <c r="N11" s="41">
        <f>N5+N6+'Billet and Gauge'!D42</f>
        <v>54761</v>
      </c>
      <c r="O11" s="41">
        <f>O5+O6+'Billet and Gauge'!D28</f>
        <v>50931</v>
      </c>
      <c r="P11" s="41" t="s">
        <v>122</v>
      </c>
    </row>
    <row r="12" spans="2:17" ht="18.5">
      <c r="B12" s="44" t="s">
        <v>201</v>
      </c>
      <c r="C12" s="44" t="s">
        <v>86</v>
      </c>
      <c r="D12" s="41">
        <f>D5+D6+'Billet and Gauge'!D30</f>
        <v>46731</v>
      </c>
      <c r="E12" s="41">
        <f>E5+E6+'Billet and Gauge'!D30</f>
        <v>46731</v>
      </c>
      <c r="F12" s="41">
        <f>F5+F6+'Billet and Gauge'!D36</f>
        <v>46231</v>
      </c>
      <c r="G12" s="41">
        <f>G5+G6+'Billet and Gauge'!D36</f>
        <v>46231</v>
      </c>
      <c r="H12" s="41">
        <f>H5+H6+'Billet and Gauge'!D42</f>
        <v>58000</v>
      </c>
      <c r="I12" s="41">
        <f>I5+I6+'Billet and Gauge'!D42</f>
        <v>56970</v>
      </c>
      <c r="J12" s="41">
        <f>J5+J6+'Billet and Gauge'!D42</f>
        <v>56970</v>
      </c>
      <c r="K12" s="41">
        <f>K5+K6+'Billet and Gauge'!D45</f>
        <v>62000</v>
      </c>
      <c r="L12" s="41">
        <f>L5+L6+'Billet and Gauge'!D36</f>
        <v>50231</v>
      </c>
      <c r="M12" s="41">
        <f>M5+M6+'Billet and Gauge'!D30</f>
        <v>50731</v>
      </c>
      <c r="N12" s="41">
        <f>N5+N6+'Billet and Gauge'!D42</f>
        <v>54761</v>
      </c>
      <c r="O12" s="41">
        <f>O5+O6+'Billet and Gauge'!D30</f>
        <v>50731</v>
      </c>
      <c r="P12" s="41">
        <f>P5+P6+'Billet and Gauge'!D48</f>
        <v>61100</v>
      </c>
    </row>
    <row r="13" spans="2:17" ht="18.5">
      <c r="B13" s="44" t="s">
        <v>202</v>
      </c>
      <c r="C13" s="44" t="s">
        <v>203</v>
      </c>
      <c r="D13" s="41" t="s">
        <v>122</v>
      </c>
      <c r="E13" s="41" t="s">
        <v>122</v>
      </c>
      <c r="F13" s="41">
        <f>F5+F6+'Billet and Gauge'!D37</f>
        <v>47731</v>
      </c>
      <c r="G13" s="41">
        <f>G5+G6+'Billet and Gauge'!D37</f>
        <v>47731</v>
      </c>
      <c r="H13" s="41">
        <f>H5+H6+'Billet and Gauge'!D42</f>
        <v>58000</v>
      </c>
      <c r="I13" s="41">
        <f>I5+I6+'Billet and Gauge'!D42</f>
        <v>56970</v>
      </c>
      <c r="J13" s="41">
        <f>J5+J6+'Billet and Gauge'!D42</f>
        <v>56970</v>
      </c>
      <c r="K13" s="41">
        <f>K9+K10+'Billet and Gauge'!D46</f>
        <v>115000</v>
      </c>
      <c r="L13" s="41">
        <f>L5+L6+'Billet and Gauge'!D37</f>
        <v>51731</v>
      </c>
      <c r="M13" s="41" t="s">
        <v>122</v>
      </c>
      <c r="N13" s="41">
        <f>N5+N6+'Billet and Gauge'!D42</f>
        <v>54761</v>
      </c>
      <c r="O13" s="41" t="s">
        <v>122</v>
      </c>
      <c r="P13" s="41">
        <f>P5+P6+'Billet and Gauge'!D48</f>
        <v>61100</v>
      </c>
    </row>
    <row r="14" spans="2:17" ht="18.5">
      <c r="B14" s="44" t="s">
        <v>204</v>
      </c>
      <c r="C14" s="44" t="s">
        <v>203</v>
      </c>
      <c r="D14" s="41" t="s">
        <v>122</v>
      </c>
      <c r="E14" s="41" t="s">
        <v>122</v>
      </c>
      <c r="F14" s="41">
        <f>F5+F6+'Billet and Gauge'!D38</f>
        <v>49231</v>
      </c>
      <c r="G14" s="41">
        <f>G5+G6+'Billet and Gauge'!D38</f>
        <v>49231</v>
      </c>
      <c r="H14" s="41">
        <f>H5+H6+'Billet and Gauge'!D43</f>
        <v>58500</v>
      </c>
      <c r="I14" s="41">
        <f>I5+I6+'Billet and Gauge'!D43</f>
        <v>57470</v>
      </c>
      <c r="J14" s="41">
        <f>J5+J6+'Billet and Gauge'!D43</f>
        <v>57470</v>
      </c>
      <c r="K14" s="41">
        <f>K10+K11+'Billet and Gauge'!D47</f>
        <v>124000</v>
      </c>
      <c r="L14" s="41">
        <f>L5+L6+'Billet and Gauge'!D38</f>
        <v>53231</v>
      </c>
      <c r="M14" s="41" t="s">
        <v>122</v>
      </c>
      <c r="N14" s="41">
        <f>N5+N6+'Billet and Gauge'!D43</f>
        <v>55261</v>
      </c>
      <c r="O14" s="41" t="s">
        <v>122</v>
      </c>
      <c r="P14" s="41">
        <f>P5+P6+'Billet and Gauge'!D49</f>
        <v>64100</v>
      </c>
    </row>
    <row r="15" spans="2:17" ht="15.75" customHeight="1">
      <c r="B15" s="44" t="s">
        <v>205</v>
      </c>
      <c r="C15" s="44" t="s">
        <v>206</v>
      </c>
      <c r="D15" s="41" t="s">
        <v>122</v>
      </c>
      <c r="E15" s="41" t="s">
        <v>122</v>
      </c>
      <c r="F15" s="41">
        <f>F5+F6+'Billet and Gauge'!D39</f>
        <v>50731</v>
      </c>
      <c r="G15" s="41">
        <f>G5+G6+'Billet and Gauge'!D39</f>
        <v>50731</v>
      </c>
      <c r="H15" s="41">
        <f>H5+H6+'Billet and Gauge'!D44</f>
        <v>59000</v>
      </c>
      <c r="I15" s="41">
        <f>I5+I6+'Billet and Gauge'!D44</f>
        <v>57970</v>
      </c>
      <c r="J15" s="41">
        <f>J5+J6+'Billet and Gauge'!D44</f>
        <v>57970</v>
      </c>
      <c r="K15" s="41">
        <f>K11+K12+'Billet and Gauge'!D48</f>
        <v>129500</v>
      </c>
      <c r="L15" s="41">
        <f>L5+L6+'Billet and Gauge'!D39</f>
        <v>54731</v>
      </c>
      <c r="M15" s="41" t="s">
        <v>122</v>
      </c>
      <c r="N15" s="41">
        <f>N5+N6+'Billet and Gauge'!D44</f>
        <v>55761</v>
      </c>
      <c r="O15" s="41" t="s">
        <v>122</v>
      </c>
      <c r="P15" s="41">
        <f>P5+P6+'Billet and Gauge'!D50</f>
        <v>66100</v>
      </c>
    </row>
    <row r="16" spans="2:17" ht="15.75" customHeight="1">
      <c r="B16" s="44" t="s">
        <v>207</v>
      </c>
      <c r="C16" s="44" t="s">
        <v>208</v>
      </c>
      <c r="D16" s="41" t="s">
        <v>122</v>
      </c>
      <c r="E16" s="41" t="s">
        <v>122</v>
      </c>
      <c r="F16" s="41" t="s">
        <v>122</v>
      </c>
      <c r="G16" s="41" t="s">
        <v>122</v>
      </c>
      <c r="H16" s="41">
        <f>H5+H6+'Billet and Gauge'!D45</f>
        <v>62500</v>
      </c>
      <c r="I16" s="41" t="s">
        <v>122</v>
      </c>
      <c r="J16" s="41">
        <f>J5+J6+'Billet and Gauge'!D45</f>
        <v>61470</v>
      </c>
      <c r="K16" s="41">
        <f>K12+K13+'Billet and Gauge'!D49</f>
        <v>190000</v>
      </c>
      <c r="L16" s="41" t="s">
        <v>122</v>
      </c>
      <c r="M16" s="41" t="s">
        <v>122</v>
      </c>
      <c r="N16" s="41">
        <f>N5+N6+'Billet and Gauge'!D45</f>
        <v>59261</v>
      </c>
      <c r="O16" s="41" t="s">
        <v>122</v>
      </c>
      <c r="P16" s="41">
        <f>P5+P6+'Billet and Gauge'!D51</f>
        <v>69600</v>
      </c>
    </row>
    <row r="17" spans="2:19" ht="15.75" customHeight="1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9" ht="15.75" customHeight="1">
      <c r="D18" s="3"/>
      <c r="E18" s="45"/>
      <c r="F18" s="45"/>
      <c r="G18" s="45"/>
      <c r="H18" s="45"/>
      <c r="I18" s="3"/>
      <c r="J18" s="3"/>
      <c r="K18" s="3"/>
      <c r="L18" s="3"/>
      <c r="M18" s="3"/>
      <c r="N18" s="3"/>
      <c r="O18" s="3"/>
      <c r="P18" s="3"/>
    </row>
    <row r="19" spans="2:19" ht="15.75" customHeight="1">
      <c r="B19" s="39" t="s">
        <v>81</v>
      </c>
      <c r="C19" s="40" t="s">
        <v>167</v>
      </c>
      <c r="D19" s="89">
        <f>'Billet and Gauge'!C134</f>
        <v>500</v>
      </c>
      <c r="E19" s="16"/>
      <c r="F19" s="16"/>
      <c r="G19" s="16"/>
      <c r="H19" s="16"/>
      <c r="I19" s="16"/>
      <c r="J19" s="16"/>
      <c r="K19" s="3"/>
      <c r="L19" s="3"/>
      <c r="M19" s="3"/>
      <c r="N19" s="3"/>
      <c r="O19" s="3"/>
      <c r="P19" s="3"/>
    </row>
    <row r="20" spans="2:19" ht="15.75" customHeight="1">
      <c r="B20" s="38"/>
      <c r="C20" s="40" t="s">
        <v>178</v>
      </c>
      <c r="D20" s="89">
        <f>'Billet and Gauge'!C9</f>
        <v>38511</v>
      </c>
      <c r="E20" s="18">
        <f>'Billet and Gauge'!C9</f>
        <v>38511</v>
      </c>
      <c r="F20" s="18">
        <f>'Billet and Gauge'!C9</f>
        <v>38511</v>
      </c>
      <c r="G20" s="18">
        <f>'Billet and Gauge'!E9</f>
        <v>42511</v>
      </c>
      <c r="H20" s="18">
        <f>'Billet and Gauge'!J9</f>
        <v>46750</v>
      </c>
      <c r="I20" s="18">
        <f>'Billet and Gauge'!I9</f>
        <v>45500</v>
      </c>
      <c r="J20" s="18">
        <f>'Billet and Gauge'!K9</f>
        <v>47250</v>
      </c>
      <c r="K20" s="93"/>
      <c r="L20" s="3"/>
      <c r="M20" s="46" t="s">
        <v>27</v>
      </c>
      <c r="N20" s="1"/>
      <c r="O20" s="3" t="s">
        <v>198</v>
      </c>
      <c r="P20" s="3" t="s">
        <v>86</v>
      </c>
      <c r="Q20" s="47" t="s">
        <v>203</v>
      </c>
      <c r="R20" s="47" t="s">
        <v>206</v>
      </c>
      <c r="S20" s="47" t="s">
        <v>208</v>
      </c>
    </row>
    <row r="21" spans="2:19" ht="15.75" customHeight="1">
      <c r="B21" s="42"/>
      <c r="C21" s="40" t="s">
        <v>179</v>
      </c>
      <c r="D21" s="90">
        <f t="shared" ref="D21:H21" si="2">385+250+85</f>
        <v>720</v>
      </c>
      <c r="E21" s="41">
        <f t="shared" si="2"/>
        <v>720</v>
      </c>
      <c r="F21" s="41">
        <f t="shared" si="2"/>
        <v>720</v>
      </c>
      <c r="G21" s="41">
        <f t="shared" si="2"/>
        <v>720</v>
      </c>
      <c r="H21" s="41">
        <f t="shared" si="2"/>
        <v>720</v>
      </c>
      <c r="I21" s="41">
        <v>2500</v>
      </c>
      <c r="J21" s="41">
        <v>1250</v>
      </c>
      <c r="K21" s="94"/>
      <c r="L21" s="3"/>
      <c r="M21" s="1" t="s">
        <v>28</v>
      </c>
      <c r="N21" s="1" t="s">
        <v>29</v>
      </c>
      <c r="O21" s="3"/>
      <c r="P21" s="3"/>
    </row>
    <row r="22" spans="2:19" ht="15.75" customHeight="1">
      <c r="B22" s="42"/>
      <c r="C22" s="40" t="s">
        <v>180</v>
      </c>
      <c r="D22" s="91" t="s">
        <v>181</v>
      </c>
      <c r="E22" s="43" t="s">
        <v>181</v>
      </c>
      <c r="F22" s="43" t="s">
        <v>181</v>
      </c>
      <c r="G22" s="43" t="s">
        <v>183</v>
      </c>
      <c r="H22" s="43" t="s">
        <v>182</v>
      </c>
      <c r="I22" s="43" t="s">
        <v>182</v>
      </c>
      <c r="J22" s="43" t="s">
        <v>182</v>
      </c>
      <c r="K22" s="95"/>
      <c r="L22" s="3"/>
      <c r="M22" s="1" t="s">
        <v>30</v>
      </c>
      <c r="N22" s="1" t="s">
        <v>29</v>
      </c>
      <c r="O22" s="3"/>
      <c r="P22" s="3"/>
    </row>
    <row r="23" spans="2:19" ht="15.75" customHeight="1">
      <c r="B23" s="38" t="s">
        <v>46</v>
      </c>
      <c r="C23" s="39" t="s">
        <v>209</v>
      </c>
      <c r="D23" s="92" t="s">
        <v>210</v>
      </c>
      <c r="E23" s="17" t="s">
        <v>211</v>
      </c>
      <c r="F23" s="17" t="s">
        <v>212</v>
      </c>
      <c r="G23" s="17" t="s">
        <v>211</v>
      </c>
      <c r="H23" s="17" t="s">
        <v>211</v>
      </c>
      <c r="I23" s="17" t="s">
        <v>213</v>
      </c>
      <c r="J23" s="17" t="s">
        <v>192</v>
      </c>
      <c r="K23" s="96"/>
      <c r="L23" s="3"/>
      <c r="M23" s="1" t="s">
        <v>35</v>
      </c>
      <c r="N23" s="1" t="s">
        <v>29</v>
      </c>
      <c r="O23" s="3">
        <f>AVERAGE(D9:E11)</f>
        <v>46231</v>
      </c>
      <c r="P23" s="3">
        <f>AVERAGE(D12:G12)</f>
        <v>46481</v>
      </c>
      <c r="Q23" s="47">
        <f>AVERAGE(F13:G14)</f>
        <v>48481</v>
      </c>
      <c r="R23" s="47">
        <f>AVERAGE(F15:G15)</f>
        <v>50731</v>
      </c>
      <c r="S23" s="47">
        <f>AVERAGE(H16:J16)</f>
        <v>61985</v>
      </c>
    </row>
    <row r="24" spans="2:19" ht="15.75" customHeight="1">
      <c r="B24" s="44" t="s">
        <v>214</v>
      </c>
      <c r="C24" s="42"/>
      <c r="D24" s="90">
        <f>D19+D20+D21+'Billet and Gauge'!D55</f>
        <v>46531</v>
      </c>
      <c r="E24" s="41">
        <f>D19+E20+E21+'Billet and Gauge'!D55</f>
        <v>46531</v>
      </c>
      <c r="F24" s="41">
        <f>D19+F20+F21+'Billet and Gauge'!D55</f>
        <v>46531</v>
      </c>
      <c r="G24" s="41">
        <f>D19+G20+G21+'Billet and Gauge'!D55</f>
        <v>50531</v>
      </c>
      <c r="H24" s="41">
        <f>D19+H20+H21+'Billet and Gauge'!D55</f>
        <v>54770</v>
      </c>
      <c r="I24" s="41">
        <f>D19+I20+I21+'Billet and Gauge'!D61</f>
        <v>58000</v>
      </c>
      <c r="J24" s="41">
        <f>D19+J20+J21+'Billet and Gauge'!D61</f>
        <v>58500</v>
      </c>
      <c r="K24" s="94"/>
      <c r="L24" s="3"/>
      <c r="M24" s="1" t="s">
        <v>36</v>
      </c>
      <c r="N24" s="1" t="s">
        <v>29</v>
      </c>
      <c r="O24" s="3"/>
      <c r="P24" s="3"/>
    </row>
    <row r="25" spans="2:19" ht="15.75" customHeight="1">
      <c r="B25" s="44" t="s">
        <v>215</v>
      </c>
      <c r="C25" s="42"/>
      <c r="D25" s="90">
        <f>D19+D20+D21+'Billet and Gauge'!D54</f>
        <v>46031</v>
      </c>
      <c r="E25" s="41">
        <f>D19+E20+E21+'Billet and Gauge'!D54</f>
        <v>46031</v>
      </c>
      <c r="F25" s="41">
        <f>D19+F20+F21+'Billet and Gauge'!D54</f>
        <v>46031</v>
      </c>
      <c r="G25" s="41">
        <f>D19+G20+G21+'Billet and Gauge'!D54</f>
        <v>50031</v>
      </c>
      <c r="H25" s="41">
        <f>D19+H20+H21+'Billet and Gauge'!D54</f>
        <v>54270</v>
      </c>
      <c r="I25" s="41">
        <f>D19+I20+I21+'Billet and Gauge'!D61</f>
        <v>58000</v>
      </c>
      <c r="J25" s="41">
        <f>D19+J20+J21+'Billet and Gauge'!D61</f>
        <v>58500</v>
      </c>
      <c r="K25" s="94"/>
      <c r="L25" s="3"/>
      <c r="M25" s="1" t="s">
        <v>28</v>
      </c>
      <c r="N25" s="1" t="s">
        <v>37</v>
      </c>
      <c r="O25" s="3"/>
      <c r="P25" s="3"/>
    </row>
    <row r="26" spans="2:19" ht="15.75" customHeight="1">
      <c r="B26" s="44" t="s">
        <v>216</v>
      </c>
      <c r="C26" s="42"/>
      <c r="D26" s="90">
        <f>D19+D20+D21+'Billet and Gauge'!D59</f>
        <v>47031</v>
      </c>
      <c r="E26" s="41" t="s">
        <v>122</v>
      </c>
      <c r="F26" s="41" t="s">
        <v>122</v>
      </c>
      <c r="G26" s="41" t="s">
        <v>122</v>
      </c>
      <c r="H26" s="41" t="s">
        <v>122</v>
      </c>
      <c r="I26" s="41" t="s">
        <v>122</v>
      </c>
      <c r="J26" s="41" t="s">
        <v>122</v>
      </c>
      <c r="K26" s="94"/>
      <c r="L26" s="3"/>
      <c r="M26" s="1" t="s">
        <v>30</v>
      </c>
      <c r="N26" s="1" t="s">
        <v>37</v>
      </c>
      <c r="O26" s="3"/>
      <c r="P26" s="3" t="s">
        <v>6</v>
      </c>
    </row>
    <row r="27" spans="2:19" ht="15.75" customHeight="1">
      <c r="B27" s="44" t="s">
        <v>217</v>
      </c>
      <c r="C27" s="42"/>
      <c r="D27" s="90">
        <f>D19+D20+D21+'Billet and Gauge'!D60</f>
        <v>48031</v>
      </c>
      <c r="E27" s="41" t="s">
        <v>122</v>
      </c>
      <c r="F27" s="41" t="s">
        <v>122</v>
      </c>
      <c r="G27" s="41" t="s">
        <v>122</v>
      </c>
      <c r="H27" s="41" t="s">
        <v>122</v>
      </c>
      <c r="I27" s="41" t="s">
        <v>122</v>
      </c>
      <c r="J27" s="41" t="s">
        <v>122</v>
      </c>
      <c r="K27" s="94"/>
      <c r="L27" s="3"/>
      <c r="M27" s="1" t="s">
        <v>35</v>
      </c>
      <c r="N27" s="1" t="s">
        <v>37</v>
      </c>
      <c r="O27" s="3"/>
      <c r="P27" s="3"/>
    </row>
    <row r="28" spans="2:19" ht="15.75" customHeight="1">
      <c r="B28" s="48" t="s">
        <v>218</v>
      </c>
      <c r="C28" s="42"/>
      <c r="D28" s="90">
        <f>D19+D20+D21+'Billet and Gauge'!D56</f>
        <v>46531</v>
      </c>
      <c r="E28" s="41">
        <f>D19+E20+E21+'Billet and Gauge'!D56</f>
        <v>46531</v>
      </c>
      <c r="F28" s="41">
        <f>D19+F20+F21+'Billet and Gauge'!D56</f>
        <v>46531</v>
      </c>
      <c r="G28" s="41">
        <f>D19+G20+G21+'Billet and Gauge'!D56</f>
        <v>50531</v>
      </c>
      <c r="H28" s="41">
        <f>D19+H20+H21+'Billet and Gauge'!D56</f>
        <v>54770</v>
      </c>
      <c r="I28" s="41" t="s">
        <v>122</v>
      </c>
      <c r="J28" s="41" t="s">
        <v>122</v>
      </c>
      <c r="K28" s="94"/>
      <c r="L28" s="3"/>
      <c r="M28" s="1" t="s">
        <v>36</v>
      </c>
      <c r="N28" s="1" t="s">
        <v>37</v>
      </c>
      <c r="O28" s="3"/>
      <c r="P28" s="3"/>
    </row>
    <row r="29" spans="2:19" ht="15.75" customHeight="1">
      <c r="B29" s="48" t="s">
        <v>219</v>
      </c>
      <c r="C29" s="42"/>
      <c r="D29" s="90">
        <f>D19+D20+D21+'Billet and Gauge'!D57</f>
        <v>47531</v>
      </c>
      <c r="E29" s="41">
        <f>D19+E20+E21+'Billet and Gauge'!D57</f>
        <v>47531</v>
      </c>
      <c r="F29" s="41">
        <f>D19+F20+F21+'Billet and Gauge'!D57</f>
        <v>47531</v>
      </c>
      <c r="G29" s="41">
        <f>D19+G20+G21+'Billet and Gauge'!D57</f>
        <v>51531</v>
      </c>
      <c r="H29" s="41">
        <f>D19+H20+H21+'Billet and Gauge'!D57</f>
        <v>55770</v>
      </c>
      <c r="I29" s="41" t="s">
        <v>122</v>
      </c>
      <c r="J29" s="41" t="s">
        <v>122</v>
      </c>
      <c r="K29" s="94"/>
      <c r="L29" s="3"/>
      <c r="M29" s="3"/>
      <c r="N29" s="3"/>
      <c r="O29" s="3"/>
      <c r="P29" s="3"/>
    </row>
    <row r="30" spans="2:19" ht="15.75" customHeight="1">
      <c r="B30" s="48" t="s">
        <v>220</v>
      </c>
      <c r="C30" s="42"/>
      <c r="D30" s="90">
        <f>D19+D20+D21+'Billet and Gauge'!D58</f>
        <v>49031</v>
      </c>
      <c r="E30" s="41" t="s">
        <v>122</v>
      </c>
      <c r="F30" s="41">
        <f>D19+F20+F21+'Billet and Gauge'!D58</f>
        <v>49031</v>
      </c>
      <c r="G30" s="41" t="s">
        <v>122</v>
      </c>
      <c r="H30" s="41" t="s">
        <v>122</v>
      </c>
      <c r="I30" s="41" t="s">
        <v>122</v>
      </c>
      <c r="J30" s="41" t="s">
        <v>122</v>
      </c>
      <c r="K30" s="94"/>
      <c r="L30" s="3"/>
      <c r="M30" s="3"/>
      <c r="N30" s="3"/>
      <c r="O30" s="3"/>
      <c r="P30" s="3"/>
    </row>
    <row r="31" spans="2:19" ht="15.75" customHeight="1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9" ht="15.75" customHeight="1">
      <c r="D32" s="3"/>
      <c r="E32" s="3"/>
      <c r="F32" s="3" t="s">
        <v>6</v>
      </c>
      <c r="G32" s="3" t="s">
        <v>6</v>
      </c>
      <c r="H32" s="49"/>
      <c r="I32" s="3"/>
      <c r="J32" s="3"/>
      <c r="K32" s="3"/>
      <c r="L32" s="3"/>
      <c r="M32" s="3"/>
      <c r="N32" s="3"/>
      <c r="O32" s="3"/>
      <c r="P32" s="3"/>
    </row>
    <row r="33" spans="2:16" ht="15.75" customHeight="1">
      <c r="B33" s="39" t="s">
        <v>98</v>
      </c>
      <c r="C33" s="40" t="s">
        <v>167</v>
      </c>
      <c r="D33" s="18">
        <f>'Billet and Gauge'!C137</f>
        <v>500</v>
      </c>
      <c r="J33" s="3"/>
      <c r="K33" s="3"/>
      <c r="L33" s="3"/>
      <c r="M33" s="3"/>
      <c r="N33" s="3"/>
      <c r="O33" s="3"/>
      <c r="P33" s="3"/>
    </row>
    <row r="34" spans="2:16" ht="15.75" customHeight="1">
      <c r="B34" s="42"/>
      <c r="C34" s="40" t="s">
        <v>178</v>
      </c>
      <c r="D34" s="18">
        <f>'Billet and Gauge'!C9</f>
        <v>38511</v>
      </c>
      <c r="E34" s="18">
        <f>'Billet and Gauge'!C9</f>
        <v>38511</v>
      </c>
      <c r="F34" s="18">
        <f>'Billet and Gauge'!C9</f>
        <v>38511</v>
      </c>
      <c r="G34" s="18">
        <f>'Billet and Gauge'!E9</f>
        <v>42511</v>
      </c>
      <c r="H34" s="18">
        <f>'Billet and Gauge'!E21</f>
        <v>55500</v>
      </c>
      <c r="I34" s="18">
        <f>'Billet and Gauge'!G21</f>
        <v>58500</v>
      </c>
      <c r="J34" s="3"/>
      <c r="K34" s="3"/>
      <c r="L34" s="3"/>
      <c r="M34" s="3"/>
      <c r="N34" s="3"/>
      <c r="O34" s="3"/>
      <c r="P34" s="3"/>
    </row>
    <row r="35" spans="2:16" ht="15.75" customHeight="1">
      <c r="B35" s="42"/>
      <c r="C35" s="40" t="s">
        <v>179</v>
      </c>
      <c r="D35" s="41">
        <f t="shared" ref="D35:G35" si="3">385+250+85</f>
        <v>720</v>
      </c>
      <c r="E35" s="41">
        <f t="shared" si="3"/>
        <v>720</v>
      </c>
      <c r="F35" s="41">
        <f t="shared" si="3"/>
        <v>720</v>
      </c>
      <c r="G35" s="41">
        <f t="shared" si="3"/>
        <v>720</v>
      </c>
      <c r="H35" s="41">
        <v>1250</v>
      </c>
      <c r="I35" s="41">
        <v>3750</v>
      </c>
      <c r="J35" s="3"/>
      <c r="K35" s="3"/>
      <c r="L35" s="3"/>
      <c r="M35" s="3"/>
      <c r="N35" s="3"/>
      <c r="O35" s="3"/>
      <c r="P35" s="3"/>
    </row>
    <row r="36" spans="2:16" ht="15.75" customHeight="1">
      <c r="B36" s="42"/>
      <c r="C36" s="40" t="s">
        <v>180</v>
      </c>
      <c r="D36" s="43" t="s">
        <v>181</v>
      </c>
      <c r="E36" s="43" t="s">
        <v>181</v>
      </c>
      <c r="F36" s="43" t="s">
        <v>181</v>
      </c>
      <c r="G36" s="43" t="s">
        <v>221</v>
      </c>
      <c r="H36" s="43" t="s">
        <v>185</v>
      </c>
      <c r="I36" s="43" t="s">
        <v>185</v>
      </c>
      <c r="J36" s="3"/>
      <c r="K36" s="3"/>
      <c r="L36" s="3"/>
      <c r="M36" s="3"/>
      <c r="N36" s="3"/>
      <c r="O36" s="3"/>
      <c r="P36" s="3"/>
    </row>
    <row r="37" spans="2:16" ht="14.25" customHeight="1">
      <c r="B37" s="38" t="s">
        <v>46</v>
      </c>
      <c r="C37" s="39" t="s">
        <v>187</v>
      </c>
      <c r="D37" s="17" t="s">
        <v>210</v>
      </c>
      <c r="E37" s="17" t="s">
        <v>211</v>
      </c>
      <c r="F37" s="17" t="s">
        <v>222</v>
      </c>
      <c r="G37" s="17" t="s">
        <v>210</v>
      </c>
      <c r="H37" s="17" t="s">
        <v>223</v>
      </c>
      <c r="I37" s="17" t="s">
        <v>223</v>
      </c>
      <c r="J37" s="3"/>
      <c r="K37" s="3"/>
      <c r="L37" s="3"/>
      <c r="M37" s="3"/>
      <c r="N37" s="3"/>
      <c r="O37" s="3"/>
      <c r="P37" s="3"/>
    </row>
    <row r="38" spans="2:16" ht="41.25" customHeight="1">
      <c r="B38" s="50" t="s">
        <v>224</v>
      </c>
      <c r="C38" s="42"/>
      <c r="D38" s="41">
        <f>D33+D34+D35+'Billet and Gauge'!D65</f>
        <v>46031</v>
      </c>
      <c r="E38" s="41">
        <f>D33+E34+E35+'Billet and Gauge'!D65</f>
        <v>46031</v>
      </c>
      <c r="F38" s="41">
        <f>D33+F34+F35+'Billet and Gauge'!D65</f>
        <v>46031</v>
      </c>
      <c r="G38" s="41">
        <f>D33+G34+G35+'Billet and Gauge'!D65</f>
        <v>50031</v>
      </c>
      <c r="H38" s="41">
        <f>H34+H35</f>
        <v>56750</v>
      </c>
      <c r="I38" s="41">
        <f>I34+I35</f>
        <v>62250</v>
      </c>
      <c r="J38" s="3"/>
      <c r="K38" s="3"/>
      <c r="L38" s="3"/>
      <c r="M38" s="3"/>
      <c r="N38" s="3"/>
      <c r="O38" s="3"/>
      <c r="P38" s="3"/>
    </row>
    <row r="39" spans="2:16" ht="15.75" customHeight="1">
      <c r="B39" s="50" t="s">
        <v>225</v>
      </c>
      <c r="C39" s="42"/>
      <c r="D39" s="41">
        <f>D33+D34+D35+'Billet and Gauge'!D66</f>
        <v>46531</v>
      </c>
      <c r="E39" s="41">
        <f>D33+E34+E35+'Billet and Gauge'!D66</f>
        <v>46531</v>
      </c>
      <c r="F39" s="41">
        <f>D33+F34+F35+'Billet and Gauge'!D66</f>
        <v>46531</v>
      </c>
      <c r="G39" s="41">
        <f>D33+G34+G35+'Billet and Gauge'!D66</f>
        <v>50531</v>
      </c>
      <c r="H39" s="41">
        <f>H34+H35</f>
        <v>56750</v>
      </c>
      <c r="I39" s="41">
        <f>I34+I35</f>
        <v>62250</v>
      </c>
      <c r="J39" s="3" t="s">
        <v>6</v>
      </c>
      <c r="K39" s="3"/>
      <c r="L39" s="3" t="s">
        <v>6</v>
      </c>
      <c r="M39" s="3"/>
      <c r="N39" s="3"/>
      <c r="O39" s="3"/>
      <c r="P39" s="3"/>
    </row>
    <row r="40" spans="2:16" ht="35.25" customHeight="1">
      <c r="B40" s="50" t="s">
        <v>226</v>
      </c>
      <c r="C40" s="42"/>
      <c r="D40" s="41" t="s">
        <v>122</v>
      </c>
      <c r="E40" s="41" t="s">
        <v>122</v>
      </c>
      <c r="F40" s="41" t="s">
        <v>122</v>
      </c>
      <c r="G40" s="41" t="s">
        <v>122</v>
      </c>
      <c r="H40" s="41">
        <f>H34+H35</f>
        <v>56750</v>
      </c>
      <c r="I40" s="41">
        <f>I34+I35</f>
        <v>62250</v>
      </c>
      <c r="J40" s="3"/>
      <c r="K40" s="3"/>
      <c r="L40" s="3"/>
      <c r="M40" s="3"/>
      <c r="N40" s="3"/>
      <c r="O40" s="3"/>
      <c r="P40" s="3"/>
    </row>
    <row r="41" spans="2:16" ht="15.75" customHeight="1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ht="15.75" customHeight="1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ht="15.75" customHeight="1">
      <c r="B43" s="39" t="s">
        <v>227</v>
      </c>
      <c r="C43" s="40" t="s">
        <v>29</v>
      </c>
      <c r="D43" s="41">
        <f>'Billet and Gauge'!C140</f>
        <v>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ht="15.75" customHeight="1">
      <c r="B44" s="42"/>
      <c r="C44" s="40" t="s">
        <v>37</v>
      </c>
      <c r="D44" s="41">
        <f>'Billet and Gauge'!C141</f>
        <v>2000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ht="15.75" customHeight="1">
      <c r="B45" s="42"/>
      <c r="C45" s="40" t="s">
        <v>178</v>
      </c>
      <c r="D45" s="18">
        <f>'Billet and Gauge'!D9</f>
        <v>44511</v>
      </c>
      <c r="E45" s="18">
        <f>'Billet and Gauge'!D9</f>
        <v>44511</v>
      </c>
      <c r="F45" s="18">
        <f>'Billet and Gauge'!F9</f>
        <v>48511</v>
      </c>
      <c r="G45" s="18">
        <f>'Billet and Gauge'!F9</f>
        <v>48511</v>
      </c>
      <c r="H45" s="18">
        <f>'Billet and Gauge'!F9</f>
        <v>48511</v>
      </c>
      <c r="I45" s="18">
        <f>'Billet and Gauge'!L9</f>
        <v>45950</v>
      </c>
      <c r="J45" s="18">
        <f>'Billet and Gauge'!H9</f>
        <v>44500</v>
      </c>
      <c r="K45" s="18"/>
      <c r="L45" s="18">
        <f>'Billet and Gauge'!M9</f>
        <v>50000</v>
      </c>
    </row>
    <row r="46" spans="2:16" ht="15.75" customHeight="1">
      <c r="B46" s="42"/>
      <c r="C46" s="40" t="s">
        <v>179</v>
      </c>
      <c r="D46" s="41">
        <f t="shared" ref="D46:H46" si="4">385+250+85</f>
        <v>720</v>
      </c>
      <c r="E46" s="41">
        <f t="shared" si="4"/>
        <v>720</v>
      </c>
      <c r="F46" s="41">
        <f t="shared" si="4"/>
        <v>720</v>
      </c>
      <c r="G46" s="41">
        <f t="shared" si="4"/>
        <v>720</v>
      </c>
      <c r="H46" s="41">
        <f t="shared" si="4"/>
        <v>720</v>
      </c>
      <c r="I46" s="41">
        <v>1250</v>
      </c>
      <c r="J46" s="41">
        <v>2500</v>
      </c>
      <c r="K46" s="41"/>
      <c r="L46" s="41">
        <v>1100</v>
      </c>
    </row>
    <row r="47" spans="2:16" ht="15.75" customHeight="1">
      <c r="B47" s="42"/>
      <c r="C47" s="40" t="s">
        <v>180</v>
      </c>
      <c r="D47" s="43" t="s">
        <v>181</v>
      </c>
      <c r="E47" s="43" t="s">
        <v>181</v>
      </c>
      <c r="F47" s="43" t="s">
        <v>183</v>
      </c>
      <c r="G47" s="43" t="s">
        <v>228</v>
      </c>
      <c r="H47" s="43" t="s">
        <v>228</v>
      </c>
      <c r="I47" s="43" t="s">
        <v>185</v>
      </c>
      <c r="J47" s="43" t="s">
        <v>185</v>
      </c>
      <c r="K47" s="43"/>
      <c r="L47" s="43" t="s">
        <v>185</v>
      </c>
    </row>
    <row r="48" spans="2:16" ht="15.75" customHeight="1">
      <c r="B48" s="38" t="s">
        <v>46</v>
      </c>
      <c r="C48" s="39" t="s">
        <v>187</v>
      </c>
      <c r="D48" s="17" t="s">
        <v>190</v>
      </c>
      <c r="E48" s="17" t="s">
        <v>229</v>
      </c>
      <c r="F48" s="17" t="s">
        <v>230</v>
      </c>
      <c r="G48" s="17" t="s">
        <v>190</v>
      </c>
      <c r="H48" s="17" t="s">
        <v>193</v>
      </c>
      <c r="I48" s="17" t="s">
        <v>231</v>
      </c>
      <c r="J48" s="17" t="s">
        <v>232</v>
      </c>
      <c r="K48" s="17"/>
      <c r="L48" s="17" t="s">
        <v>196</v>
      </c>
    </row>
    <row r="49" spans="2:12" ht="15.75" customHeight="1">
      <c r="B49" s="44" t="s">
        <v>233</v>
      </c>
      <c r="C49" s="38"/>
      <c r="D49" s="41">
        <f>D43+D45+D46+'Billet and Gauge'!C82</f>
        <v>46431</v>
      </c>
      <c r="E49" s="41">
        <f>D43+E45+E46+'Billet and Gauge'!C82</f>
        <v>46431</v>
      </c>
      <c r="F49" s="41">
        <f>D43+F45+F46+'Billet and Gauge'!C82</f>
        <v>50431</v>
      </c>
      <c r="G49" s="41">
        <f>D43+G45+G46+'Billet and Gauge'!C82</f>
        <v>50431</v>
      </c>
      <c r="H49" s="41">
        <f>D43+H45+H46+'Billet and Gauge'!C82</f>
        <v>50431</v>
      </c>
      <c r="I49" s="41">
        <f>D43+I45+I46+'Billet and Gauge'!F71</f>
        <v>54700</v>
      </c>
      <c r="J49" s="41">
        <f>J43+J45+J46+'Billet and Gauge'!I71</f>
        <v>57000</v>
      </c>
      <c r="K49" s="41"/>
      <c r="L49" s="41" t="s">
        <v>122</v>
      </c>
    </row>
    <row r="50" spans="2:12" ht="15.75" customHeight="1">
      <c r="B50" s="44" t="s">
        <v>234</v>
      </c>
      <c r="C50" s="42"/>
      <c r="D50" s="41">
        <f>D43+D45+D46+'Billet and Gauge'!C83</f>
        <v>47031</v>
      </c>
      <c r="E50" s="41">
        <f>D43+E45+E46+'Billet and Gauge'!C83</f>
        <v>47031</v>
      </c>
      <c r="F50" s="41">
        <f>D43+F45+F46+'Billet and Gauge'!C83</f>
        <v>51031</v>
      </c>
      <c r="G50" s="41">
        <f>D43+G45+G46+'Billet and Gauge'!C83</f>
        <v>51031</v>
      </c>
      <c r="H50" s="41">
        <f>D43+H45+H46+'Billet and Gauge'!C83</f>
        <v>51031</v>
      </c>
      <c r="I50" s="41">
        <f>D43+I45+I46+'Billet and Gauge'!F72</f>
        <v>54700</v>
      </c>
      <c r="J50" s="41">
        <f>J43+J45+J46+'Billet and Gauge'!I72</f>
        <v>57000</v>
      </c>
      <c r="K50" s="41"/>
      <c r="L50" s="41">
        <f>D43+L45+L46+'Billet and Gauge'!I78</f>
        <v>68600</v>
      </c>
    </row>
    <row r="51" spans="2:12" ht="15.75" customHeight="1">
      <c r="B51" s="44" t="s">
        <v>235</v>
      </c>
      <c r="C51" s="42"/>
      <c r="D51" s="41">
        <f>D43+D45+D46+'Billet and Gauge'!C84</f>
        <v>47031</v>
      </c>
      <c r="E51" s="41">
        <f>D43+E45+E46+'Billet and Gauge'!C84</f>
        <v>47031</v>
      </c>
      <c r="F51" s="41">
        <f>D43+F45+F46+'Billet and Gauge'!C84</f>
        <v>51031</v>
      </c>
      <c r="G51" s="41">
        <f>D43+G45+G46+'Billet and Gauge'!C84</f>
        <v>51031</v>
      </c>
      <c r="H51" s="41">
        <f>D43+H45+H46+'Billet and Gauge'!C84</f>
        <v>51031</v>
      </c>
      <c r="I51" s="41">
        <f>D43+I45+I46+'Billet and Gauge'!F73</f>
        <v>54700</v>
      </c>
      <c r="J51" s="41">
        <f>J43+J45+J46+'Billet and Gauge'!I73</f>
        <v>57000</v>
      </c>
      <c r="K51" s="41"/>
      <c r="L51" s="41">
        <f>D43+L45+L46+'Billet and Gauge'!I79</f>
        <v>68600</v>
      </c>
    </row>
    <row r="52" spans="2:12" ht="15.75" customHeight="1">
      <c r="B52" s="44" t="s">
        <v>236</v>
      </c>
      <c r="C52" s="42"/>
      <c r="D52" s="41">
        <f>D43+D45+D46+'Billet and Gauge'!C86</f>
        <v>50231</v>
      </c>
      <c r="E52" s="41">
        <f>D43+E45+E46+'Billet and Gauge'!C86</f>
        <v>50231</v>
      </c>
      <c r="F52" s="41">
        <f>D43+F45+F46+'Billet and Gauge'!C86</f>
        <v>54231</v>
      </c>
      <c r="G52" s="41">
        <f>D43+G45+G46+'Billet and Gauge'!C86</f>
        <v>54231</v>
      </c>
      <c r="H52" s="41">
        <f>D43+H45+H46+'Billet and Gauge'!C86</f>
        <v>54231</v>
      </c>
      <c r="I52" s="41">
        <f>D43+I45+I46+'Billet and Gauge'!F74</f>
        <v>54700</v>
      </c>
      <c r="J52" s="41" t="s">
        <v>122</v>
      </c>
      <c r="K52" s="41"/>
      <c r="L52" s="41">
        <f>D43+L45+L46+'Billet and Gauge'!I80</f>
        <v>72600</v>
      </c>
    </row>
    <row r="53" spans="2:12" ht="15.75" customHeight="1">
      <c r="B53" s="44" t="s">
        <v>237</v>
      </c>
      <c r="C53" s="42"/>
      <c r="D53" s="41">
        <f>D43+D45+D46+'Billet and Gauge'!C87</f>
        <v>52731</v>
      </c>
      <c r="E53" s="41">
        <f>D43+E45+E46+'Billet and Gauge'!C87</f>
        <v>52731</v>
      </c>
      <c r="F53" s="41">
        <f>D43+F45+F46+'Billet and Gauge'!C87</f>
        <v>56731</v>
      </c>
      <c r="G53" s="41">
        <f>D43+G45+G46+'Billet and Gauge'!C87</f>
        <v>56731</v>
      </c>
      <c r="H53" s="41">
        <f>D43+H45+H46+'Billet and Gauge'!C87</f>
        <v>56731</v>
      </c>
      <c r="I53" s="41" t="s">
        <v>122</v>
      </c>
      <c r="J53" s="41" t="s">
        <v>122</v>
      </c>
      <c r="K53" s="41"/>
      <c r="L53" s="41">
        <f>D43+L45+L46+'Billet and Gauge'!I81</f>
        <v>72600</v>
      </c>
    </row>
    <row r="54" spans="2:12" ht="15.75" customHeight="1">
      <c r="B54" s="44" t="s">
        <v>238</v>
      </c>
      <c r="C54" s="42"/>
      <c r="D54" s="41" t="s">
        <v>122</v>
      </c>
      <c r="E54" s="41" t="s">
        <v>122</v>
      </c>
      <c r="F54" s="41" t="s">
        <v>122</v>
      </c>
      <c r="G54" s="41" t="s">
        <v>122</v>
      </c>
      <c r="H54" s="41" t="s">
        <v>122</v>
      </c>
      <c r="I54" s="41" t="s">
        <v>122</v>
      </c>
      <c r="J54" s="41">
        <f>J43+J45+J46+'Billet and Gauge'!I74</f>
        <v>56000</v>
      </c>
      <c r="K54" s="41"/>
      <c r="L54" s="41">
        <f>D43+L45+L46+'Billet and Gauge'!I77</f>
        <v>68600</v>
      </c>
    </row>
    <row r="55" spans="2:12" ht="15.75" customHeight="1">
      <c r="B55" s="44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2:12" ht="15.75" customHeight="1">
      <c r="B56" s="44" t="s">
        <v>239</v>
      </c>
      <c r="C56" s="42"/>
      <c r="D56" s="41">
        <f>D43+D45+D46+'Billet and Gauge'!C92</f>
        <v>45531</v>
      </c>
      <c r="E56" s="41">
        <f>D43+E45+E46+'Billet and Gauge'!C92</f>
        <v>45531</v>
      </c>
      <c r="F56" s="41">
        <f>D43+F45+F46+'Billet and Gauge'!C92</f>
        <v>49531</v>
      </c>
      <c r="G56" s="41">
        <f>D43+G45+G46+'Billet and Gauge'!C92</f>
        <v>49531</v>
      </c>
      <c r="H56" s="41">
        <f>D43+H45+H46+'Billet and Gauge'!C92</f>
        <v>49531</v>
      </c>
      <c r="I56" s="41" t="s">
        <v>122</v>
      </c>
      <c r="J56" s="41" t="s">
        <v>122</v>
      </c>
      <c r="K56" s="41"/>
      <c r="L56" s="41" t="s">
        <v>122</v>
      </c>
    </row>
    <row r="57" spans="2:12" ht="15.75" customHeight="1">
      <c r="B57" s="44" t="s">
        <v>240</v>
      </c>
      <c r="C57" s="42"/>
      <c r="D57" s="41">
        <f>D43+D45+D46+'Billet and Gauge'!C91</f>
        <v>45531</v>
      </c>
      <c r="E57" s="41">
        <f>D43+E45+E46+'Billet and Gauge'!C91</f>
        <v>45531</v>
      </c>
      <c r="F57" s="41">
        <f>D43+F45+F46+'Billet and Gauge'!C91</f>
        <v>49531</v>
      </c>
      <c r="G57" s="41">
        <f>D43+G45+G46+'Billet and Gauge'!C91</f>
        <v>49531</v>
      </c>
      <c r="H57" s="41">
        <f>D43+H45+H46+'Billet and Gauge'!C91</f>
        <v>49531</v>
      </c>
      <c r="I57" s="41">
        <f>D43+I45+I46+'Billet and Gauge'!F71</f>
        <v>54700</v>
      </c>
      <c r="J57" s="41" t="s">
        <v>122</v>
      </c>
      <c r="K57" s="41"/>
      <c r="L57" s="41">
        <f>D43+L45+L46+'Billet and Gauge'!F91</f>
        <v>60600</v>
      </c>
    </row>
    <row r="58" spans="2:12" ht="15.75" customHeight="1">
      <c r="B58" s="44" t="s">
        <v>241</v>
      </c>
      <c r="C58" s="42"/>
      <c r="D58" s="41">
        <f>D43+D45+D46+'Billet and Gauge'!C91</f>
        <v>45531</v>
      </c>
      <c r="E58" s="41">
        <f>D43+E45+E46+'Billet and Gauge'!C91</f>
        <v>45531</v>
      </c>
      <c r="F58" s="41">
        <f>D43+F45+F46+'Billet and Gauge'!C91</f>
        <v>49531</v>
      </c>
      <c r="G58" s="41">
        <f>D43+G45+G46+'Billet and Gauge'!C91</f>
        <v>49531</v>
      </c>
      <c r="H58" s="41">
        <f>D43+H45+H46+'Billet and Gauge'!C91</f>
        <v>49531</v>
      </c>
      <c r="I58" s="41">
        <f>D43+I45+I46+'Billet and Gauge'!F71</f>
        <v>54700</v>
      </c>
      <c r="J58" s="41" t="s">
        <v>122</v>
      </c>
      <c r="K58" s="41"/>
      <c r="L58" s="41">
        <f>D43+L45+L46+'Billet and Gauge'!F91</f>
        <v>60600</v>
      </c>
    </row>
    <row r="59" spans="2:12" ht="15.75" customHeight="1">
      <c r="B59" s="44" t="s">
        <v>242</v>
      </c>
      <c r="C59" s="42"/>
      <c r="D59" s="41">
        <f>D43+D45+D46+'Billet and Gauge'!C91</f>
        <v>45531</v>
      </c>
      <c r="E59" s="41">
        <f>D43+E45+E46+'Billet and Gauge'!C91</f>
        <v>45531</v>
      </c>
      <c r="F59" s="41">
        <f>D43+F45+F46+'Billet and Gauge'!C91</f>
        <v>49531</v>
      </c>
      <c r="G59" s="41">
        <f>G43+G45+G46+'Billet and Gauge'!C91</f>
        <v>49531</v>
      </c>
      <c r="H59" s="41">
        <f>D43+H45+H46+'Billet and Gauge'!C91</f>
        <v>49531</v>
      </c>
      <c r="I59" s="41">
        <f>D43+I45+I46+'Billet and Gauge'!F71</f>
        <v>54700</v>
      </c>
      <c r="J59" s="41" t="s">
        <v>122</v>
      </c>
      <c r="K59" s="41"/>
      <c r="L59" s="41">
        <f>D43+L45+L46+'Billet and Gauge'!F91</f>
        <v>60600</v>
      </c>
    </row>
    <row r="60" spans="2:12" ht="15.75" customHeight="1">
      <c r="B60" s="44" t="s">
        <v>243</v>
      </c>
      <c r="C60" s="42"/>
      <c r="D60" s="41">
        <f>D43+D45+D46+'Billet and Gauge'!C93</f>
        <v>48731</v>
      </c>
      <c r="E60" s="41">
        <f>D43+E45+E46+'Billet and Gauge'!C93</f>
        <v>48731</v>
      </c>
      <c r="F60" s="41">
        <f>D43+F45+F46+'Billet and Gauge'!C93</f>
        <v>52731</v>
      </c>
      <c r="G60" s="41">
        <f>D43+G45+G46+'Billet and Gauge'!C93</f>
        <v>52731</v>
      </c>
      <c r="H60" s="41">
        <f>D43+H45+H46+'Billet and Gauge'!C93</f>
        <v>52731</v>
      </c>
      <c r="I60" s="41" t="s">
        <v>122</v>
      </c>
      <c r="J60" s="41" t="s">
        <v>122</v>
      </c>
      <c r="K60" s="41"/>
      <c r="L60" s="41">
        <f>D43+L45+L46+'Billet and Gauge'!F93</f>
        <v>61600</v>
      </c>
    </row>
    <row r="61" spans="2:12" ht="15.75" customHeight="1">
      <c r="B61" s="44" t="s">
        <v>244</v>
      </c>
      <c r="C61" s="42"/>
      <c r="D61" s="41">
        <f>D43+D45+D46+'Billet and Gauge'!C94</f>
        <v>46731</v>
      </c>
      <c r="E61" s="41">
        <f>D43+E45+E46+'Billet and Gauge'!C94</f>
        <v>46731</v>
      </c>
      <c r="F61" s="41">
        <f>D43+F45+F46+'Billet and Gauge'!C94</f>
        <v>50731</v>
      </c>
      <c r="G61" s="41">
        <f>D43+G45+G46+'Billet and Gauge'!C94</f>
        <v>50731</v>
      </c>
      <c r="H61" s="41">
        <f>D43+H45+H46+'Billet and Gauge'!C94</f>
        <v>50731</v>
      </c>
      <c r="I61" s="41">
        <f>D43+I45+I46+'Billet and Gauge'!F71</f>
        <v>54700</v>
      </c>
      <c r="J61" s="41" t="s">
        <v>122</v>
      </c>
      <c r="K61" s="41"/>
      <c r="L61" s="41">
        <f>D43+L45+L46+'Billet and Gauge'!F94</f>
        <v>60600</v>
      </c>
    </row>
    <row r="62" spans="2:12" ht="15.75" customHeight="1">
      <c r="B62" s="44" t="s">
        <v>245</v>
      </c>
      <c r="C62" s="42"/>
      <c r="D62" s="41">
        <f>D43+D45+D46+'Billet and Gauge'!C95</f>
        <v>49231</v>
      </c>
      <c r="E62" s="41" t="s">
        <v>122</v>
      </c>
      <c r="F62" s="41">
        <f>D43+F45+F46+'Billet and Gauge'!C95</f>
        <v>53231</v>
      </c>
      <c r="G62" s="41">
        <f>D43+G45+G46+'Billet and Gauge'!C95</f>
        <v>53231</v>
      </c>
      <c r="H62" s="41">
        <f>D43+H45+H46+'Billet and Gauge'!C95</f>
        <v>53231</v>
      </c>
      <c r="I62" s="41" t="s">
        <v>122</v>
      </c>
      <c r="J62" s="41" t="s">
        <v>122</v>
      </c>
      <c r="K62" s="41"/>
      <c r="L62" s="41" t="s">
        <v>122</v>
      </c>
    </row>
    <row r="63" spans="2:12" ht="15.75" customHeight="1">
      <c r="B63" s="44" t="s">
        <v>246</v>
      </c>
      <c r="C63" s="42"/>
      <c r="D63" s="41">
        <f>D43+D45+D46+'Billet and Gauge'!C96</f>
        <v>47731</v>
      </c>
      <c r="E63" s="41">
        <f>D43+E45+E46+'Billet and Gauge'!C96</f>
        <v>47731</v>
      </c>
      <c r="F63" s="41">
        <f>D43+F45+F46+'Billet and Gauge'!C96</f>
        <v>51731</v>
      </c>
      <c r="G63" s="41">
        <f>D43+G45+G46+'Billet and Gauge'!C96</f>
        <v>51731</v>
      </c>
      <c r="H63" s="41">
        <f>D43+H45+H46+'Billet and Gauge'!C96</f>
        <v>51731</v>
      </c>
      <c r="I63" s="41">
        <f>D43+I45+I46+'Billet and Gauge'!F71</f>
        <v>54700</v>
      </c>
      <c r="J63" s="41" t="s">
        <v>122</v>
      </c>
      <c r="K63" s="41"/>
      <c r="L63" s="41">
        <f>D43+L45+L46+'Billet and Gauge'!F96</f>
        <v>61600</v>
      </c>
    </row>
    <row r="64" spans="2:12" ht="15.75" customHeight="1">
      <c r="B64" s="44" t="s">
        <v>247</v>
      </c>
      <c r="C64" s="42"/>
      <c r="D64" s="41">
        <f>D43+D45+D46+'Billet and Gauge'!C97</f>
        <v>49731</v>
      </c>
      <c r="E64" s="41">
        <f>D43+E45+E46+'Billet and Gauge'!C97</f>
        <v>49731</v>
      </c>
      <c r="F64" s="41">
        <f>D43+F45+F46+'Billet and Gauge'!C97</f>
        <v>53731</v>
      </c>
      <c r="G64" s="41">
        <f>D43+G45+G46+'Billet and Gauge'!C97</f>
        <v>53731</v>
      </c>
      <c r="H64" s="41">
        <f>D43+H45+H46+'Billet and Gauge'!C97</f>
        <v>53731</v>
      </c>
      <c r="I64" s="41" t="s">
        <v>122</v>
      </c>
      <c r="J64" s="41" t="s">
        <v>122</v>
      </c>
      <c r="K64" s="41"/>
      <c r="L64" s="41">
        <f>D43+L45+L46+'Billet and Gauge'!F97</f>
        <v>63600</v>
      </c>
    </row>
    <row r="65" spans="2:16" ht="15.75" customHeight="1">
      <c r="B65" s="44" t="s">
        <v>248</v>
      </c>
      <c r="C65" s="42"/>
      <c r="D65" s="41">
        <f>D43+D45+D46+'Billet and Gauge'!C98</f>
        <v>51231</v>
      </c>
      <c r="E65" s="41">
        <f>D43+E45+E46+'Billet and Gauge'!C98</f>
        <v>51231</v>
      </c>
      <c r="F65" s="41">
        <f>D43+F45+F46+'Billet and Gauge'!C98</f>
        <v>55231</v>
      </c>
      <c r="G65" s="41">
        <f>D43+G45+G46+'Billet and Gauge'!C98</f>
        <v>55231</v>
      </c>
      <c r="H65" s="41">
        <f>D43+H45+H46+'Billet and Gauge'!C98</f>
        <v>55231</v>
      </c>
      <c r="I65" s="41" t="s">
        <v>122</v>
      </c>
      <c r="J65" s="41" t="s">
        <v>122</v>
      </c>
      <c r="K65" s="41"/>
      <c r="L65" s="41">
        <f>D43+L45+L46+'Billet and Gauge'!F98</f>
        <v>65600</v>
      </c>
    </row>
    <row r="66" spans="2:16" ht="15.75" customHeight="1">
      <c r="B66" s="44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2:16" ht="15.75" customHeight="1">
      <c r="B67" s="44" t="s">
        <v>249</v>
      </c>
      <c r="C67" s="42"/>
      <c r="D67" s="41">
        <f>D43+D45+D46+'Billet and Gauge'!C71</f>
        <v>45231</v>
      </c>
      <c r="E67" s="41">
        <f>D43+E45+E46+'Billet and Gauge'!C71</f>
        <v>45231</v>
      </c>
      <c r="F67" s="41">
        <f>D43+F45+F46+'Billet and Gauge'!C71</f>
        <v>49231</v>
      </c>
      <c r="G67" s="41">
        <f>D43+G45+G46+'Billet and Gauge'!C71</f>
        <v>49231</v>
      </c>
      <c r="H67" s="41">
        <f>E43+H45+H46+'Billet and Gauge'!D71</f>
        <v>49231</v>
      </c>
      <c r="I67" s="41" t="s">
        <v>122</v>
      </c>
      <c r="J67" s="41" t="s">
        <v>122</v>
      </c>
      <c r="K67" s="41"/>
      <c r="L67" s="41" t="s">
        <v>122</v>
      </c>
    </row>
    <row r="68" spans="2:16" ht="15.75" customHeight="1">
      <c r="B68" s="44" t="s">
        <v>250</v>
      </c>
      <c r="C68" s="42"/>
      <c r="D68" s="41">
        <f>D43+D45+D46+'Billet and Gauge'!C74</f>
        <v>45731</v>
      </c>
      <c r="E68" s="41">
        <f>D43+E45+E46+'Billet and Gauge'!C74</f>
        <v>45731</v>
      </c>
      <c r="F68" s="41">
        <f>D43+F45+F46+'Billet and Gauge'!C74</f>
        <v>49731</v>
      </c>
      <c r="G68" s="41">
        <f>D43+G45+G46+'Billet and Gauge'!C74</f>
        <v>49731</v>
      </c>
      <c r="H68" s="41">
        <f>E43+H45+H46+'Billet and Gauge'!D74</f>
        <v>49231</v>
      </c>
      <c r="I68" s="41" t="s">
        <v>122</v>
      </c>
      <c r="J68" s="41" t="s">
        <v>122</v>
      </c>
      <c r="K68" s="41"/>
      <c r="L68" s="41" t="s">
        <v>122</v>
      </c>
    </row>
    <row r="69" spans="2:16" ht="15.75" customHeight="1">
      <c r="B69" s="44" t="s">
        <v>251</v>
      </c>
      <c r="C69" s="42"/>
      <c r="D69" s="41">
        <f>D43+D45+D46+'Billet and Gauge'!C75</f>
        <v>46831</v>
      </c>
      <c r="E69" s="41">
        <f>D43+E45+E46+'Billet and Gauge'!C75</f>
        <v>46831</v>
      </c>
      <c r="F69" s="41">
        <f>D43+F45+F46+'Billet and Gauge'!C75</f>
        <v>50831</v>
      </c>
      <c r="G69" s="41">
        <f>D43+G45+G46+'Billet and Gauge'!C75</f>
        <v>50831</v>
      </c>
      <c r="H69" s="41">
        <f>E43+H45+H46+'Billet and Gauge'!D75</f>
        <v>49231</v>
      </c>
      <c r="I69" s="41" t="s">
        <v>122</v>
      </c>
      <c r="J69" s="41" t="s">
        <v>122</v>
      </c>
      <c r="K69" s="41"/>
      <c r="L69" s="41" t="s">
        <v>122</v>
      </c>
    </row>
    <row r="70" spans="2:16" ht="15.75" customHeight="1">
      <c r="B70" s="44" t="s">
        <v>252</v>
      </c>
      <c r="C70" s="42"/>
      <c r="D70" s="41">
        <f>D43+D45+D46+'Billet and Gauge'!C76</f>
        <v>47731</v>
      </c>
      <c r="E70" s="41">
        <f>D43+E45+E46+'Billet and Gauge'!C76</f>
        <v>47731</v>
      </c>
      <c r="F70" s="41">
        <f>D43+F45+F46+'Billet and Gauge'!C76</f>
        <v>51731</v>
      </c>
      <c r="G70" s="41">
        <f>D43+G45+G46+'Billet and Gauge'!C76</f>
        <v>51731</v>
      </c>
      <c r="H70" s="41">
        <f>E43+H45+H46+'Billet and Gauge'!D76</f>
        <v>49231</v>
      </c>
      <c r="I70" s="41" t="s">
        <v>122</v>
      </c>
      <c r="J70" s="41" t="s">
        <v>122</v>
      </c>
      <c r="K70" s="41"/>
      <c r="L70" s="41" t="s">
        <v>122</v>
      </c>
    </row>
    <row r="71" spans="2:16" ht="15.75" customHeight="1">
      <c r="B71" s="44" t="s">
        <v>253</v>
      </c>
      <c r="C71" s="42"/>
      <c r="D71" s="41">
        <f>D43+D45+D46+'Billet and Gauge'!C77</f>
        <v>49731</v>
      </c>
      <c r="E71" s="41">
        <f>D43+E45+E46+'Billet and Gauge'!C77</f>
        <v>49731</v>
      </c>
      <c r="F71" s="41">
        <f>D43+F45+F46+'Billet and Gauge'!C77</f>
        <v>53731</v>
      </c>
      <c r="G71" s="41">
        <f>D43+G45+G46+'Billet and Gauge'!C77</f>
        <v>53731</v>
      </c>
      <c r="H71" s="41">
        <f>E43+H45+H46+'Billet and Gauge'!D77</f>
        <v>49231</v>
      </c>
      <c r="I71" s="41" t="s">
        <v>122</v>
      </c>
      <c r="J71" s="41" t="s">
        <v>122</v>
      </c>
      <c r="K71" s="41"/>
      <c r="L71" s="41" t="s">
        <v>122</v>
      </c>
      <c r="M71" s="3"/>
      <c r="N71" s="3"/>
      <c r="O71" s="3"/>
      <c r="P71" s="3"/>
    </row>
    <row r="72" spans="2:16" ht="15.75" customHeight="1">
      <c r="B72" s="44" t="s">
        <v>254</v>
      </c>
      <c r="C72" s="42"/>
      <c r="D72" s="41">
        <f>D43+D45+D46+'Billet and Gauge'!C78</f>
        <v>49231</v>
      </c>
      <c r="E72" s="41">
        <f>D43+E45+E46+'Billet and Gauge'!C78</f>
        <v>49231</v>
      </c>
      <c r="F72" s="41">
        <f>D43+F45+F46+'Billet and Gauge'!C78</f>
        <v>53231</v>
      </c>
      <c r="G72" s="41">
        <f>D43+G45+G46+'Billet and Gauge'!C78</f>
        <v>53231</v>
      </c>
      <c r="H72" s="41">
        <f>E43+H45+H46+'Billet and Gauge'!D78</f>
        <v>49231</v>
      </c>
      <c r="I72" s="41" t="s">
        <v>122</v>
      </c>
      <c r="J72" s="41" t="s">
        <v>122</v>
      </c>
      <c r="K72" s="41"/>
      <c r="L72" s="41" t="s">
        <v>122</v>
      </c>
      <c r="M72" s="3"/>
      <c r="N72" s="3"/>
      <c r="O72" s="3"/>
      <c r="P72" s="3"/>
    </row>
    <row r="73" spans="2:16" ht="15.75" customHeight="1">
      <c r="B73" s="44" t="s">
        <v>255</v>
      </c>
      <c r="C73" s="42"/>
      <c r="D73" s="41">
        <f>D43+D45+D46+'Billet and Gauge'!C79</f>
        <v>50731</v>
      </c>
      <c r="E73" s="41">
        <f>D43+E45+E46+'Billet and Gauge'!C79</f>
        <v>50731</v>
      </c>
      <c r="F73" s="41">
        <f>D43+F45+F46+'Billet and Gauge'!C79</f>
        <v>54731</v>
      </c>
      <c r="G73" s="41">
        <f>D43+G45+G46+'Billet and Gauge'!C79</f>
        <v>54731</v>
      </c>
      <c r="H73" s="41">
        <f>E43+H45+H46+'Billet and Gauge'!D79</f>
        <v>49231</v>
      </c>
      <c r="I73" s="41" t="s">
        <v>122</v>
      </c>
      <c r="J73" s="41" t="s">
        <v>122</v>
      </c>
      <c r="K73" s="41"/>
      <c r="L73" s="41" t="s">
        <v>122</v>
      </c>
      <c r="M73" s="3"/>
      <c r="N73" s="3"/>
      <c r="O73" s="3"/>
      <c r="P73" s="3"/>
    </row>
    <row r="74" spans="2:16" ht="15.75" customHeight="1">
      <c r="B74" s="44" t="s">
        <v>256</v>
      </c>
      <c r="C74" s="42"/>
      <c r="D74" s="41">
        <f>D43+D45+D46+'Billet and Gauge'!C80</f>
        <v>52231</v>
      </c>
      <c r="E74" s="41">
        <f>D43+E45+E46+'Billet and Gauge'!C80</f>
        <v>52231</v>
      </c>
      <c r="F74" s="41">
        <f>D43+F45+F46+'Billet and Gauge'!C80</f>
        <v>56231</v>
      </c>
      <c r="G74" s="41">
        <f>D43+G45+G46+'Billet and Gauge'!C80</f>
        <v>56231</v>
      </c>
      <c r="H74" s="41">
        <f>E43+H45+H46+'Billet and Gauge'!D80</f>
        <v>49231</v>
      </c>
      <c r="I74" s="41" t="s">
        <v>122</v>
      </c>
      <c r="J74" s="41" t="s">
        <v>122</v>
      </c>
      <c r="K74" s="41"/>
      <c r="L74" s="41" t="s">
        <v>122</v>
      </c>
      <c r="M74" s="3"/>
      <c r="N74" s="3"/>
      <c r="O74" s="3"/>
      <c r="P74" s="3"/>
    </row>
    <row r="75" spans="2:16" ht="15.75" customHeight="1">
      <c r="B75" s="44" t="s">
        <v>257</v>
      </c>
      <c r="C75" s="42"/>
      <c r="D75" s="41">
        <f>D43+D45+D46+'Billet and Gauge'!C81</f>
        <v>55231</v>
      </c>
      <c r="E75" s="41">
        <f>D43+E45+E46+'Billet and Gauge'!C81</f>
        <v>55231</v>
      </c>
      <c r="F75" s="41">
        <f>D43+F45+F46+'Billet and Gauge'!C81</f>
        <v>59231</v>
      </c>
      <c r="G75" s="41">
        <f>D43+G45+G46+'Billet and Gauge'!C81</f>
        <v>59231</v>
      </c>
      <c r="H75" s="41">
        <f>E43+H45+H46+'Billet and Gauge'!D81</f>
        <v>49231</v>
      </c>
      <c r="I75" s="41" t="s">
        <v>122</v>
      </c>
      <c r="J75" s="41" t="s">
        <v>122</v>
      </c>
      <c r="K75" s="41"/>
      <c r="L75" s="41" t="s">
        <v>122</v>
      </c>
      <c r="M75" s="3"/>
      <c r="N75" s="3"/>
      <c r="O75" s="3"/>
      <c r="P75" s="3"/>
    </row>
    <row r="76" spans="2:16" ht="15.75" customHeight="1">
      <c r="B76" s="51"/>
      <c r="C76" s="52"/>
      <c r="D76" s="53"/>
      <c r="E76" s="53"/>
      <c r="F76" s="53"/>
      <c r="G76" s="53"/>
      <c r="H76" s="53"/>
      <c r="I76" s="53"/>
      <c r="J76" s="3"/>
      <c r="K76" s="3"/>
      <c r="L76" s="3"/>
      <c r="M76" s="3"/>
      <c r="N76" s="3"/>
      <c r="O76" s="3"/>
      <c r="P76" s="3"/>
    </row>
    <row r="77" spans="2:16" ht="15.75" customHeight="1"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2:16" ht="16.5" customHeight="1">
      <c r="B78" s="39" t="s">
        <v>258</v>
      </c>
      <c r="C78" s="40" t="s">
        <v>29</v>
      </c>
      <c r="D78" s="41">
        <f>'Billet and Gauge'!C144</f>
        <v>0</v>
      </c>
      <c r="E78" s="54"/>
      <c r="F78" s="41">
        <f>'Billet and Gauge'!F144</f>
        <v>0</v>
      </c>
      <c r="H78" s="3"/>
      <c r="I78" s="3"/>
      <c r="J78" s="3"/>
      <c r="K78" s="3"/>
      <c r="L78" s="3"/>
      <c r="M78" s="3"/>
      <c r="N78" s="3"/>
      <c r="O78" s="3"/>
      <c r="P78" s="3"/>
    </row>
    <row r="79" spans="2:16" ht="18" customHeight="1">
      <c r="B79" s="42"/>
      <c r="C79" s="40" t="s">
        <v>37</v>
      </c>
      <c r="D79" s="41">
        <f>'Billet and Gauge'!C145</f>
        <v>3500</v>
      </c>
      <c r="E79" s="54"/>
      <c r="F79" s="41">
        <f>'Billet and Gauge'!F145</f>
        <v>0</v>
      </c>
      <c r="H79" s="3"/>
      <c r="I79" s="3"/>
      <c r="J79" s="3"/>
      <c r="K79" s="3"/>
      <c r="L79" s="3"/>
      <c r="M79" s="3"/>
      <c r="N79" s="3"/>
      <c r="O79" s="3" t="s">
        <v>6</v>
      </c>
      <c r="P79" s="3"/>
    </row>
    <row r="80" spans="2:16" ht="15.75" customHeight="1">
      <c r="B80" s="42"/>
      <c r="C80" s="40" t="s">
        <v>178</v>
      </c>
      <c r="D80" s="18">
        <f>'Billet and Gauge'!C12</f>
        <v>57000</v>
      </c>
      <c r="E80" s="18">
        <f>'Billet and Gauge'!D12</f>
        <v>57000</v>
      </c>
      <c r="F80" s="18">
        <f>'Billet and Gauge'!E12</f>
        <v>59000</v>
      </c>
      <c r="H80" s="3"/>
      <c r="I80" s="3" t="s">
        <v>6</v>
      </c>
      <c r="J80" s="3"/>
      <c r="K80" s="3"/>
      <c r="L80" s="3"/>
      <c r="M80" s="3"/>
      <c r="N80" s="3"/>
      <c r="O80" s="3"/>
      <c r="P80" s="3"/>
    </row>
    <row r="81" spans="2:16" ht="15.75" customHeight="1">
      <c r="B81" s="42"/>
      <c r="C81" s="40" t="s">
        <v>259</v>
      </c>
      <c r="D81" s="41">
        <f>385+250+85</f>
        <v>720</v>
      </c>
      <c r="E81" s="41">
        <v>1250</v>
      </c>
      <c r="F81" s="41">
        <v>1100</v>
      </c>
      <c r="H81" s="3"/>
      <c r="I81" s="3"/>
      <c r="J81" s="3"/>
      <c r="K81" s="3"/>
      <c r="L81" s="3"/>
      <c r="M81" s="3"/>
      <c r="N81" s="3"/>
      <c r="O81" s="3"/>
      <c r="P81" s="3"/>
    </row>
    <row r="82" spans="2:16" ht="15.75" customHeight="1">
      <c r="B82" s="88"/>
      <c r="C82" s="40" t="s">
        <v>180</v>
      </c>
      <c r="D82" s="43" t="s">
        <v>185</v>
      </c>
      <c r="E82" s="43" t="s">
        <v>185</v>
      </c>
      <c r="F82" s="43" t="s">
        <v>185</v>
      </c>
      <c r="H82" s="3"/>
      <c r="I82" s="3"/>
      <c r="J82" s="3"/>
      <c r="K82" s="3"/>
      <c r="L82" s="3"/>
      <c r="M82" s="3"/>
      <c r="N82" s="3"/>
      <c r="O82" s="3"/>
      <c r="P82" s="3"/>
    </row>
    <row r="83" spans="2:16" ht="15.75" customHeight="1">
      <c r="B83" s="38" t="s">
        <v>46</v>
      </c>
      <c r="C83" s="86" t="s">
        <v>187</v>
      </c>
      <c r="D83" s="17" t="s">
        <v>260</v>
      </c>
      <c r="E83" s="17" t="s">
        <v>261</v>
      </c>
      <c r="F83" s="17" t="s">
        <v>196</v>
      </c>
      <c r="H83" s="3"/>
      <c r="I83" s="3"/>
      <c r="J83" s="3"/>
      <c r="K83" s="3"/>
      <c r="L83" s="3"/>
      <c r="M83" s="3"/>
      <c r="N83" s="3"/>
      <c r="O83" s="3"/>
      <c r="P83" s="3"/>
    </row>
    <row r="84" spans="2:16" ht="15.75" customHeight="1">
      <c r="B84" s="48" t="s">
        <v>145</v>
      </c>
      <c r="C84" s="87"/>
      <c r="D84" s="41">
        <f>D78+D80+D81+'Billet and Gauge'!C102</f>
        <v>57720</v>
      </c>
      <c r="E84" s="41">
        <f>D78+E80+E81+'Billet and Gauge'!D102</f>
        <v>58250</v>
      </c>
      <c r="F84" s="41">
        <f>D78+F80+F81+'Billet and Gauge'!E102</f>
        <v>60100</v>
      </c>
      <c r="H84" s="3"/>
      <c r="I84" s="3"/>
      <c r="J84" s="3"/>
      <c r="K84" s="3"/>
      <c r="L84" s="3"/>
      <c r="M84" s="3"/>
      <c r="N84" s="3"/>
      <c r="O84" s="3"/>
      <c r="P84" s="3"/>
    </row>
    <row r="85" spans="2:16" ht="15.75" customHeight="1">
      <c r="B85" s="48" t="s">
        <v>146</v>
      </c>
      <c r="C85" s="87"/>
      <c r="D85" s="41">
        <f>D78+D80+D81+'Billet and Gauge'!C103</f>
        <v>57720</v>
      </c>
      <c r="E85" s="41">
        <f>D78+E80+E81+'Billet and Gauge'!D103</f>
        <v>59250</v>
      </c>
      <c r="F85" s="41">
        <f>D78+F80+F81+'Billet and Gauge'!E103</f>
        <v>60100</v>
      </c>
      <c r="H85" s="3"/>
      <c r="I85" s="3"/>
      <c r="J85" s="3"/>
      <c r="K85" s="3"/>
      <c r="L85" s="3"/>
      <c r="M85" s="3"/>
      <c r="N85" s="3"/>
      <c r="O85" s="3"/>
      <c r="P85" s="3"/>
    </row>
    <row r="86" spans="2:16" ht="15.75" customHeight="1">
      <c r="B86" s="48" t="s">
        <v>147</v>
      </c>
      <c r="C86" s="87"/>
      <c r="D86" s="41">
        <f>D78+D80+D81+'Billet and Gauge'!C104</f>
        <v>58220</v>
      </c>
      <c r="E86" s="41">
        <f>D78+E80+E81+'Billet and Gauge'!D104</f>
        <v>59750</v>
      </c>
      <c r="F86" s="41">
        <f>D78+F80+F81+'Billet and Gauge'!E104</f>
        <v>61100</v>
      </c>
      <c r="H86" s="3"/>
      <c r="I86" s="3"/>
      <c r="J86" s="3"/>
      <c r="K86" s="3"/>
      <c r="L86" s="3"/>
      <c r="M86" s="3"/>
      <c r="N86" s="3"/>
      <c r="O86" s="3"/>
      <c r="P86" s="3"/>
    </row>
    <row r="87" spans="2:16" ht="15.75" customHeight="1">
      <c r="B87" s="48" t="s">
        <v>148</v>
      </c>
      <c r="C87" s="87"/>
      <c r="D87" s="41">
        <f>D78+D80+D81+'Billet and Gauge'!C105</f>
        <v>58220</v>
      </c>
      <c r="E87" s="41">
        <f>D78+E80+E81+'Billet and Gauge'!D105</f>
        <v>60250</v>
      </c>
      <c r="F87" s="41">
        <f>D78+F80+F81+'Billet and Gauge'!E105</f>
        <v>62600</v>
      </c>
      <c r="H87" s="3"/>
      <c r="I87" s="3"/>
      <c r="J87" s="3"/>
      <c r="K87" s="3"/>
      <c r="L87" s="3"/>
      <c r="M87" s="3"/>
      <c r="N87" s="3"/>
      <c r="O87" s="3"/>
      <c r="P87" s="3"/>
    </row>
    <row r="88" spans="2:16" ht="15.75" customHeight="1">
      <c r="B88" s="48" t="s">
        <v>149</v>
      </c>
      <c r="C88" s="87"/>
      <c r="D88" s="41">
        <f>D78+D80+D81+'Billet and Gauge'!C106</f>
        <v>59720</v>
      </c>
      <c r="E88" s="41">
        <f>D78+E80+E81+'Billet and Gauge'!D106</f>
        <v>62750</v>
      </c>
      <c r="F88" s="41">
        <f>D78+F80+F81+'Billet and Gauge'!E106</f>
        <v>63600</v>
      </c>
      <c r="H88" s="3"/>
      <c r="I88" s="3"/>
      <c r="J88" s="3"/>
      <c r="K88" s="3"/>
      <c r="L88" s="3"/>
      <c r="M88" s="3"/>
      <c r="N88" s="3"/>
      <c r="O88" s="3"/>
      <c r="P88" s="3"/>
    </row>
    <row r="89" spans="2:16" ht="15.75" customHeight="1">
      <c r="B89" s="48" t="s">
        <v>150</v>
      </c>
      <c r="C89" s="87"/>
      <c r="D89" s="41">
        <f>D78+D80+D81+'Billet and Gauge'!C107</f>
        <v>57720</v>
      </c>
      <c r="E89" s="41">
        <f>D78+E80+E81+'Billet and Gauge'!D107</f>
        <v>60250</v>
      </c>
      <c r="F89" s="41">
        <f>D78+F80+F81+'Billet and Gauge'!E107</f>
        <v>60100</v>
      </c>
      <c r="H89" s="3"/>
      <c r="I89" s="3"/>
      <c r="J89" s="3"/>
      <c r="K89" s="3"/>
      <c r="L89" s="3"/>
      <c r="M89" s="3"/>
      <c r="N89" s="3"/>
      <c r="O89" s="3"/>
      <c r="P89" s="3"/>
    </row>
    <row r="90" spans="2:16" ht="15.75" customHeight="1"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2:16" ht="15.75" customHeight="1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2:16" ht="15.75" customHeight="1">
      <c r="B92" s="39" t="s">
        <v>262</v>
      </c>
      <c r="C92" s="40" t="s">
        <v>263</v>
      </c>
      <c r="D92" s="41">
        <f>'Billet and Gauge'!C148</f>
        <v>4000</v>
      </c>
      <c r="E92" s="16"/>
      <c r="F92" s="16"/>
      <c r="G92" s="16"/>
      <c r="H92" s="16"/>
      <c r="I92" s="3"/>
      <c r="J92" s="3"/>
      <c r="K92" s="3"/>
      <c r="L92" s="3"/>
      <c r="M92" s="3"/>
      <c r="N92" s="3"/>
      <c r="O92" s="3"/>
      <c r="P92" s="3"/>
    </row>
    <row r="93" spans="2:16" ht="15.75" customHeight="1">
      <c r="B93" s="42"/>
      <c r="C93" s="40" t="s">
        <v>173</v>
      </c>
      <c r="D93" s="41">
        <v>0</v>
      </c>
      <c r="E93" s="16"/>
      <c r="F93" s="16"/>
      <c r="G93" s="16"/>
      <c r="H93" s="16"/>
      <c r="I93" s="3"/>
      <c r="J93" s="3"/>
      <c r="K93" s="3"/>
      <c r="L93" s="3"/>
      <c r="M93" s="3"/>
      <c r="N93" s="3"/>
      <c r="O93" s="3"/>
      <c r="P93" s="3"/>
    </row>
    <row r="94" spans="2:16" ht="15.75" customHeight="1">
      <c r="B94" s="42"/>
      <c r="C94" s="40" t="s">
        <v>178</v>
      </c>
      <c r="D94" s="18">
        <f>'Billet and Gauge'!C15</f>
        <v>57000</v>
      </c>
      <c r="E94" s="18">
        <f>'Billet and Gauge'!C15</f>
        <v>57000</v>
      </c>
      <c r="F94" s="18">
        <f>'Billet and Gauge'!C15</f>
        <v>57000</v>
      </c>
      <c r="G94" s="18">
        <f>'Billet and Gauge'!E15</f>
        <v>57000</v>
      </c>
      <c r="H94" s="18">
        <f>'Billet and Gauge'!D15</f>
        <v>56075</v>
      </c>
      <c r="I94" s="3" t="s">
        <v>6</v>
      </c>
      <c r="J94" s="3"/>
      <c r="K94" s="3"/>
      <c r="L94" s="3"/>
      <c r="M94" s="3"/>
      <c r="N94" s="3"/>
      <c r="O94" s="3"/>
      <c r="P94" s="3"/>
    </row>
    <row r="95" spans="2:16" ht="15.75" customHeight="1">
      <c r="B95" s="42"/>
      <c r="C95" s="40" t="s">
        <v>259</v>
      </c>
      <c r="D95" s="41">
        <v>2500</v>
      </c>
      <c r="E95" s="41">
        <v>2500</v>
      </c>
      <c r="F95" s="41">
        <v>2500</v>
      </c>
      <c r="G95" s="41">
        <v>4000</v>
      </c>
      <c r="H95" s="41">
        <v>500</v>
      </c>
      <c r="I95" s="3"/>
      <c r="J95" s="3"/>
      <c r="K95" s="3"/>
      <c r="L95" s="3"/>
      <c r="M95" s="3"/>
      <c r="N95" s="3"/>
      <c r="O95" s="3"/>
      <c r="P95" s="3"/>
    </row>
    <row r="96" spans="2:16" ht="15.75" customHeight="1">
      <c r="B96" s="42"/>
      <c r="C96" s="40" t="s">
        <v>180</v>
      </c>
      <c r="D96" s="43" t="s">
        <v>182</v>
      </c>
      <c r="E96" s="43" t="s">
        <v>182</v>
      </c>
      <c r="F96" s="43" t="s">
        <v>182</v>
      </c>
      <c r="G96" s="43" t="s">
        <v>181</v>
      </c>
      <c r="H96" s="43" t="s">
        <v>181</v>
      </c>
      <c r="I96" s="3"/>
      <c r="J96" s="3"/>
      <c r="K96" s="3"/>
      <c r="L96" s="3"/>
      <c r="M96" s="3"/>
      <c r="N96" s="3"/>
      <c r="O96" s="3"/>
      <c r="P96" s="3"/>
    </row>
    <row r="97" spans="2:16" ht="15.75" customHeight="1">
      <c r="B97" s="38" t="s">
        <v>46</v>
      </c>
      <c r="C97" s="39" t="s">
        <v>187</v>
      </c>
      <c r="D97" s="17" t="s">
        <v>264</v>
      </c>
      <c r="E97" s="17" t="s">
        <v>265</v>
      </c>
      <c r="F97" s="17" t="s">
        <v>266</v>
      </c>
      <c r="G97" s="17" t="s">
        <v>267</v>
      </c>
      <c r="H97" s="17" t="s">
        <v>268</v>
      </c>
      <c r="I97" s="3"/>
      <c r="J97" s="3"/>
      <c r="K97" s="3"/>
      <c r="L97" s="3"/>
      <c r="M97" s="3"/>
      <c r="N97" s="3"/>
      <c r="O97" s="3"/>
      <c r="P97" s="3"/>
    </row>
    <row r="98" spans="2:16" ht="15.75" customHeight="1">
      <c r="B98" s="55" t="s">
        <v>152</v>
      </c>
      <c r="C98" s="56"/>
      <c r="D98" s="41">
        <f>D92+'Billet and Gauge'!C150+D94+D95+'Billet and Gauge'!C111</f>
        <v>65500</v>
      </c>
      <c r="E98" s="41">
        <f>D92+E94+E95+'Billet and Gauge'!C111</f>
        <v>63500</v>
      </c>
      <c r="F98" s="41">
        <f>D92+F94+F95+'Billet and Gauge'!C111</f>
        <v>63500</v>
      </c>
      <c r="G98" s="41">
        <f>D92+G94+G95+'Billet and Gauge'!C111</f>
        <v>65000</v>
      </c>
      <c r="H98" s="41">
        <f>D92+H94+H95+'Billet and Gauge'!C111</f>
        <v>60575</v>
      </c>
      <c r="I98" s="3"/>
      <c r="J98" s="3"/>
      <c r="K98" s="3"/>
      <c r="L98" s="3"/>
      <c r="M98" s="3"/>
      <c r="N98" s="3"/>
      <c r="O98" s="3"/>
      <c r="P98" s="3"/>
    </row>
    <row r="99" spans="2:16" ht="15.75" customHeight="1">
      <c r="B99" s="55" t="s">
        <v>153</v>
      </c>
      <c r="C99" s="42"/>
      <c r="D99" s="41">
        <f>D92+'Billet and Gauge'!C150+D94+D95+'Billet and Gauge'!C112</f>
        <v>65500</v>
      </c>
      <c r="E99" s="41">
        <f>D92+E94+E95+'Billet and Gauge'!C112</f>
        <v>63500</v>
      </c>
      <c r="F99" s="41">
        <f>D92+F94+F95+'Billet and Gauge'!C112</f>
        <v>63500</v>
      </c>
      <c r="G99" s="41">
        <f>D92+G94+G95+'Billet and Gauge'!C112</f>
        <v>65000</v>
      </c>
      <c r="H99" s="41">
        <f>D92+H94+H95+'Billet and Gauge'!C112</f>
        <v>60575</v>
      </c>
      <c r="I99" s="3" t="s">
        <v>6</v>
      </c>
      <c r="J99" s="3"/>
      <c r="K99" s="3"/>
      <c r="L99" s="3"/>
      <c r="M99" s="3"/>
      <c r="N99" s="3"/>
      <c r="O99" s="3"/>
      <c r="P99" s="3"/>
    </row>
    <row r="100" spans="2:16" ht="15.75" customHeight="1">
      <c r="B100" s="55" t="s">
        <v>154</v>
      </c>
      <c r="C100" s="42"/>
      <c r="D100" s="41">
        <f>D92+'Billet and Gauge'!C150+D94+D95+'Billet and Gauge'!C113</f>
        <v>66500</v>
      </c>
      <c r="E100" s="41">
        <f>D92+E94+E95+'Billet and Gauge'!C113</f>
        <v>64500</v>
      </c>
      <c r="F100" s="41">
        <f>D92+F94+F95+'Billet and Gauge'!C113</f>
        <v>64500</v>
      </c>
      <c r="G100" s="41">
        <f>D92+G94+G95+'Billet and Gauge'!C113</f>
        <v>66000</v>
      </c>
      <c r="H100" s="41">
        <f>D92+H94+H95+'Billet and Gauge'!C113</f>
        <v>61575</v>
      </c>
      <c r="I100" s="3" t="s">
        <v>6</v>
      </c>
      <c r="J100" s="3"/>
      <c r="K100" s="3"/>
      <c r="L100" s="3"/>
      <c r="M100" s="3"/>
      <c r="N100" s="3"/>
      <c r="O100" s="3"/>
      <c r="P100" s="3"/>
    </row>
    <row r="101" spans="2:16" ht="15.75" customHeight="1">
      <c r="B101" s="55" t="s">
        <v>155</v>
      </c>
      <c r="C101" s="42"/>
      <c r="D101" s="41">
        <f>D92+'Billet and Gauge'!C150+D94+D95+'Billet and Gauge'!C114</f>
        <v>68500</v>
      </c>
      <c r="E101" s="41">
        <f>D92+E94+E95+'Billet and Gauge'!C114</f>
        <v>66500</v>
      </c>
      <c r="F101" s="41">
        <f>D92+F94+F95+'Billet and Gauge'!C114</f>
        <v>66500</v>
      </c>
      <c r="G101" s="41">
        <f>D92+G94+G95+'Billet and Gauge'!C114</f>
        <v>68000</v>
      </c>
      <c r="H101" s="41">
        <f>D92+H94+H95+'Billet and Gauge'!C114</f>
        <v>63575</v>
      </c>
      <c r="I101" s="3" t="s">
        <v>6</v>
      </c>
      <c r="J101" s="3"/>
      <c r="K101" s="3"/>
      <c r="L101" s="3"/>
      <c r="M101" s="3"/>
      <c r="N101" s="3"/>
      <c r="O101" s="3"/>
      <c r="P101" s="3"/>
    </row>
    <row r="102" spans="2:16" ht="15.75" customHeight="1">
      <c r="B102" s="55" t="s">
        <v>156</v>
      </c>
      <c r="C102" s="42"/>
      <c r="D102" s="41">
        <f>D92+'Billet and Gauge'!C150+D94+D95+'Billet and Gauge'!C115</f>
        <v>69500</v>
      </c>
      <c r="E102" s="41">
        <f>D92+E94+E95+'Billet and Gauge'!C115</f>
        <v>67500</v>
      </c>
      <c r="F102" s="41">
        <f>D92+F94+F95+'Billet and Gauge'!C115</f>
        <v>67500</v>
      </c>
      <c r="G102" s="41">
        <f>D92+G94+G95+'Billet and Gauge'!C115</f>
        <v>69000</v>
      </c>
      <c r="H102" s="41">
        <f>D92+H94+H95+'Billet and Gauge'!C115</f>
        <v>64575</v>
      </c>
      <c r="I102" s="3" t="s">
        <v>6</v>
      </c>
      <c r="J102" s="3"/>
      <c r="K102" s="3"/>
      <c r="L102" s="3"/>
      <c r="M102" s="3"/>
      <c r="N102" s="3"/>
      <c r="O102" s="3"/>
      <c r="P102" s="3"/>
    </row>
    <row r="103" spans="2:16" ht="15.75" customHeight="1">
      <c r="D103" s="3"/>
      <c r="E103" s="3"/>
      <c r="F103" s="3"/>
      <c r="G103" s="3"/>
      <c r="H103" s="3"/>
      <c r="I103" s="3" t="s">
        <v>6</v>
      </c>
      <c r="J103" s="3"/>
      <c r="K103" s="3"/>
      <c r="L103" s="3"/>
      <c r="M103" s="3"/>
      <c r="N103" s="3"/>
      <c r="O103" s="3"/>
      <c r="P103" s="3"/>
    </row>
    <row r="104" spans="2:16" ht="15.75" customHeight="1"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2:16" ht="15.75" customHeight="1">
      <c r="B105" s="38" t="s">
        <v>174</v>
      </c>
      <c r="C105" s="40" t="s">
        <v>175</v>
      </c>
      <c r="D105" s="41">
        <f>'Billet and Gauge'!C153</f>
        <v>3000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2:16" ht="15.75" customHeight="1">
      <c r="B106" s="42"/>
      <c r="C106" s="40" t="s">
        <v>167</v>
      </c>
      <c r="D106" s="41">
        <f>'Billet and Gauge'!C154</f>
        <v>35000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2:16" ht="15.75" customHeight="1">
      <c r="B107" s="42"/>
      <c r="C107" s="57">
        <v>5.6</v>
      </c>
      <c r="D107" s="41">
        <f>'Billet and Gauge'!C155</f>
        <v>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2:16" ht="15.75" customHeight="1">
      <c r="B108" s="42"/>
      <c r="C108" s="57">
        <v>6.8</v>
      </c>
      <c r="D108" s="41">
        <f>'Billet and Gauge'!C156</f>
        <v>6000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2:16" ht="15.75" customHeight="1">
      <c r="B109" s="42"/>
      <c r="C109" s="57">
        <v>8.8000000000000007</v>
      </c>
      <c r="D109" s="41">
        <f>'Billet and Gauge'!C157</f>
        <v>35000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2:16" ht="15.75" customHeight="1">
      <c r="B110" s="42"/>
      <c r="C110" s="40" t="s">
        <v>178</v>
      </c>
      <c r="D110" s="58">
        <f>'Billet and Gauge'!C18</f>
        <v>54000</v>
      </c>
      <c r="E110" s="58">
        <f>'Billet and Gauge'!C18</f>
        <v>54000</v>
      </c>
      <c r="F110" s="58">
        <f>'Billet and Gauge'!C18</f>
        <v>54000</v>
      </c>
      <c r="G110" s="58">
        <f>'Billet and Gauge'!C18</f>
        <v>54000</v>
      </c>
      <c r="H110" s="58">
        <f>'Billet and Gauge'!E18</f>
        <v>59500</v>
      </c>
      <c r="I110" s="58">
        <f>'Billet and Gauge'!D18</f>
        <v>61000</v>
      </c>
      <c r="J110" s="3"/>
      <c r="K110" s="3"/>
      <c r="L110" s="3">
        <f>H110+H111+D106+D105</f>
        <v>100500</v>
      </c>
      <c r="M110" s="3"/>
      <c r="N110" s="3"/>
      <c r="O110" s="3"/>
      <c r="P110" s="3"/>
    </row>
    <row r="111" spans="2:16" ht="15.75" customHeight="1">
      <c r="B111" s="42"/>
      <c r="C111" s="40" t="s">
        <v>259</v>
      </c>
      <c r="D111" s="59">
        <v>4500</v>
      </c>
      <c r="E111" s="41">
        <v>4500</v>
      </c>
      <c r="F111" s="41">
        <v>4500</v>
      </c>
      <c r="G111" s="41">
        <v>4500</v>
      </c>
      <c r="H111" s="41">
        <v>3000</v>
      </c>
      <c r="I111" s="59">
        <v>4500</v>
      </c>
      <c r="J111" s="3"/>
      <c r="K111" s="3"/>
      <c r="L111" s="3"/>
      <c r="M111" s="3"/>
      <c r="N111" s="3"/>
      <c r="O111" s="3"/>
      <c r="P111" s="3"/>
    </row>
    <row r="112" spans="2:16" ht="15.75" customHeight="1">
      <c r="B112" s="42"/>
      <c r="C112" s="40" t="s">
        <v>180</v>
      </c>
      <c r="D112" s="43" t="s">
        <v>181</v>
      </c>
      <c r="E112" s="43" t="s">
        <v>181</v>
      </c>
      <c r="F112" s="43" t="s">
        <v>181</v>
      </c>
      <c r="G112" s="43" t="s">
        <v>181</v>
      </c>
      <c r="H112" s="43" t="s">
        <v>182</v>
      </c>
      <c r="I112" s="43" t="s">
        <v>182</v>
      </c>
      <c r="J112" s="3"/>
      <c r="K112" s="3"/>
      <c r="L112" s="3"/>
      <c r="M112" s="3"/>
      <c r="N112" s="3"/>
      <c r="O112" s="3"/>
      <c r="P112" s="3"/>
    </row>
    <row r="113" spans="2:16" ht="15.75" customHeight="1">
      <c r="B113" s="38" t="s">
        <v>46</v>
      </c>
      <c r="C113" s="39" t="s">
        <v>187</v>
      </c>
      <c r="D113" s="60" t="s">
        <v>269</v>
      </c>
      <c r="E113" s="17" t="s">
        <v>270</v>
      </c>
      <c r="F113" s="17"/>
      <c r="G113" s="17"/>
      <c r="H113" s="17" t="s">
        <v>271</v>
      </c>
      <c r="I113" s="60" t="s">
        <v>269</v>
      </c>
      <c r="J113" s="3"/>
      <c r="K113" s="3"/>
      <c r="L113" s="3"/>
      <c r="M113" s="3"/>
      <c r="N113" s="3"/>
      <c r="O113" s="3"/>
      <c r="P113" s="3"/>
    </row>
    <row r="114" spans="2:16" ht="15.75" customHeight="1">
      <c r="B114" s="44" t="s">
        <v>272</v>
      </c>
      <c r="C114" s="42"/>
      <c r="D114" s="41">
        <f>D105+D106+D111+D110+'Billet and Gauge'!C119</f>
        <v>96500</v>
      </c>
      <c r="E114" s="41">
        <f>D105+D106+E111+E110+'Billet and Gauge'!C119</f>
        <v>96500</v>
      </c>
      <c r="F114" s="41">
        <f>D105+D106+F111+F110+'Billet and Gauge'!C119</f>
        <v>96500</v>
      </c>
      <c r="G114" s="41">
        <f>D105+D106+G111+G110+'Billet and Gauge'!C119</f>
        <v>96500</v>
      </c>
      <c r="H114" s="41">
        <f>D105+D106+H111+H110+'Billet and Gauge'!C119</f>
        <v>100500</v>
      </c>
      <c r="I114" s="41">
        <f>D105+D106+I111+I110+'Billet and Gauge'!C119</f>
        <v>103500</v>
      </c>
      <c r="J114" s="3"/>
      <c r="K114" s="3"/>
      <c r="L114" s="3"/>
      <c r="M114" s="3"/>
      <c r="N114" s="3" t="s">
        <v>6</v>
      </c>
      <c r="O114" s="3"/>
      <c r="P114" s="3"/>
    </row>
    <row r="115" spans="2:16" ht="15.75" customHeight="1">
      <c r="B115" s="44" t="s">
        <v>273</v>
      </c>
      <c r="C115" s="42"/>
      <c r="D115" s="41">
        <f>D105+D106+D111+D110+'Billet and Gauge'!C120</f>
        <v>99500</v>
      </c>
      <c r="E115" s="41">
        <f>D105+D106+E111+E110+'Billet and Gauge'!C120</f>
        <v>99500</v>
      </c>
      <c r="F115" s="41">
        <f>D105+D106+F111+F110+'Billet and Gauge'!C120</f>
        <v>99500</v>
      </c>
      <c r="G115" s="41">
        <f>D105+D106+G111+G110+'Billet and Gauge'!C120</f>
        <v>99500</v>
      </c>
      <c r="H115" s="41">
        <f>D105+D106+H111+H110+'Billet and Gauge'!C120</f>
        <v>103500</v>
      </c>
      <c r="I115" s="41">
        <f>D105+D106+I111+I110+'Billet and Gauge'!C120</f>
        <v>106500</v>
      </c>
      <c r="J115" s="3"/>
      <c r="K115" s="3"/>
      <c r="L115" s="3"/>
      <c r="M115" s="3"/>
      <c r="N115" s="3" t="s">
        <v>6</v>
      </c>
      <c r="O115" s="3"/>
      <c r="P115" s="3"/>
    </row>
    <row r="116" spans="2:16" ht="15.75" customHeight="1">
      <c r="B116" s="44" t="s">
        <v>274</v>
      </c>
      <c r="C116" s="42"/>
      <c r="D116" s="41">
        <f>D105+D106+D111+D110+'Billet and Gauge'!C121</f>
        <v>99500</v>
      </c>
      <c r="E116" s="41">
        <f>D105+D106+E111+E110+'Billet and Gauge'!C121</f>
        <v>99500</v>
      </c>
      <c r="F116" s="41">
        <f>D105+D106+F111+F110+'Billet and Gauge'!C121</f>
        <v>99500</v>
      </c>
      <c r="G116" s="41">
        <f>D105+D106+G111+G110+'Billet and Gauge'!C121</f>
        <v>99500</v>
      </c>
      <c r="H116" s="41">
        <f>D105+D106+H111+H110+'Billet and Gauge'!C121</f>
        <v>103500</v>
      </c>
      <c r="I116" s="41">
        <f>D105+D106+I111+I110+'Billet and Gauge'!C121</f>
        <v>106500</v>
      </c>
      <c r="J116" s="3"/>
      <c r="K116" s="3"/>
      <c r="L116" s="3"/>
      <c r="M116" s="3"/>
      <c r="N116" s="3"/>
      <c r="O116" s="3"/>
      <c r="P116" s="3"/>
    </row>
    <row r="117" spans="2:16" ht="15.75" customHeight="1">
      <c r="B117" s="44" t="s">
        <v>161</v>
      </c>
      <c r="C117" s="42"/>
      <c r="D117" s="41">
        <f>D105+D106+D111+D110+'Billet and Gauge'!C122</f>
        <v>119500</v>
      </c>
      <c r="E117" s="41">
        <f>D105+D106+E111+E110+'Billet and Gauge'!C122</f>
        <v>119500</v>
      </c>
      <c r="F117" s="41">
        <f>D105+D106+F111+F110+'Billet and Gauge'!C122</f>
        <v>119500</v>
      </c>
      <c r="G117" s="41">
        <f>D105+D106+G111+G110+'Billet and Gauge'!C122</f>
        <v>119500</v>
      </c>
      <c r="H117" s="41">
        <f>D105+D106+H111+H110+'Billet and Gauge'!C122</f>
        <v>123500</v>
      </c>
      <c r="I117" s="41">
        <f>D105+D106+I111+I110+'Billet and Gauge'!C122</f>
        <v>126500</v>
      </c>
      <c r="J117" s="3"/>
      <c r="K117" s="3"/>
      <c r="L117" s="3"/>
      <c r="M117" s="3"/>
      <c r="N117" s="3"/>
      <c r="O117" s="3"/>
      <c r="P117" s="3"/>
    </row>
    <row r="118" spans="2:16" ht="15.75" customHeight="1">
      <c r="B118" s="44" t="s">
        <v>162</v>
      </c>
      <c r="C118" s="42"/>
      <c r="D118" s="41">
        <f>D105+D106+D111+D110+'Billet and Gauge'!C123</f>
        <v>124500</v>
      </c>
      <c r="E118" s="41">
        <f>D105+D106+E111+E110+'Billet and Gauge'!C123</f>
        <v>124500</v>
      </c>
      <c r="F118" s="41">
        <f>D105+D106+F111+F110+'Billet and Gauge'!C123</f>
        <v>124500</v>
      </c>
      <c r="G118" s="41">
        <f>D105+D106+G111+G110+'Billet and Gauge'!C123</f>
        <v>124500</v>
      </c>
      <c r="H118" s="41">
        <f>D105+D106+H111+H110+'Billet and Gauge'!C123</f>
        <v>128500</v>
      </c>
      <c r="I118" s="41">
        <f>D105+D106+I111+I110+'Billet and Gauge'!C123</f>
        <v>131500</v>
      </c>
      <c r="J118" s="3"/>
      <c r="K118" s="3"/>
      <c r="L118" s="3"/>
      <c r="M118" s="3"/>
      <c r="N118" s="3"/>
      <c r="O118" s="3"/>
      <c r="P118" s="3"/>
    </row>
    <row r="119" spans="2:16" ht="15.75" customHeight="1">
      <c r="B119" s="44" t="s">
        <v>163</v>
      </c>
      <c r="C119" s="42"/>
      <c r="D119" s="41">
        <f>D105+D106+D111+D110+'Billet and Gauge'!C124</f>
        <v>104500</v>
      </c>
      <c r="E119" s="41">
        <f>D105+D106+E111+E110+'Billet and Gauge'!C124</f>
        <v>104500</v>
      </c>
      <c r="F119" s="41">
        <f>D105+D106+F111+F110+'Billet and Gauge'!C124</f>
        <v>104500</v>
      </c>
      <c r="G119" s="41">
        <f>D105+D106+G111+G110+'Billet and Gauge'!C124</f>
        <v>104500</v>
      </c>
      <c r="H119" s="41">
        <f>D105+D106+H111+H110+'Billet and Gauge'!C124</f>
        <v>108500</v>
      </c>
      <c r="I119" s="41">
        <f>D105+D106+I111+I110+'Billet and Gauge'!C124</f>
        <v>111500</v>
      </c>
      <c r="J119" s="3"/>
      <c r="K119" s="3"/>
      <c r="L119" s="3"/>
      <c r="M119" s="3"/>
      <c r="N119" s="3"/>
      <c r="O119" s="3"/>
      <c r="P119" s="3"/>
    </row>
    <row r="120" spans="2:16" ht="15.75" customHeight="1"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2:16" ht="15.75" customHeight="1"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2:16" ht="15.75" customHeight="1">
      <c r="B122" s="38" t="s">
        <v>275</v>
      </c>
      <c r="C122" s="57">
        <v>5.6</v>
      </c>
      <c r="D122" s="41">
        <f>'Billet and Gauge'!C160</f>
        <v>45000</v>
      </c>
      <c r="H122" s="3"/>
      <c r="I122" s="3"/>
      <c r="J122" s="3"/>
      <c r="K122" s="3"/>
      <c r="L122" s="3"/>
      <c r="M122" s="3"/>
      <c r="N122" s="3"/>
      <c r="O122" s="3"/>
      <c r="P122" s="3"/>
    </row>
    <row r="123" spans="2:16" ht="15.75" customHeight="1">
      <c r="B123" s="42"/>
      <c r="C123" s="57">
        <v>8.8000000000000007</v>
      </c>
      <c r="D123" s="41">
        <f>'Billet and Gauge'!C162</f>
        <v>35000</v>
      </c>
      <c r="H123" s="3"/>
      <c r="I123" s="3"/>
      <c r="J123" s="3"/>
      <c r="K123" s="3"/>
      <c r="L123" s="3"/>
      <c r="M123" s="3"/>
      <c r="N123" s="3"/>
      <c r="O123" s="3"/>
      <c r="P123" s="3"/>
    </row>
    <row r="124" spans="2:16" ht="15.75" customHeight="1">
      <c r="B124" s="42"/>
      <c r="C124" s="40" t="s">
        <v>178</v>
      </c>
      <c r="D124" s="58">
        <f>'Billet and Gauge'!C21</f>
        <v>52500</v>
      </c>
      <c r="E124" s="58">
        <f>'Billet and Gauge'!F21</f>
        <v>58000</v>
      </c>
      <c r="F124" s="58">
        <f>'Billet and Gauge'!D21</f>
        <v>59000</v>
      </c>
      <c r="G124" s="3" t="s">
        <v>6</v>
      </c>
      <c r="H124" s="3" t="s">
        <v>6</v>
      </c>
      <c r="I124" s="3"/>
      <c r="J124" s="3"/>
      <c r="K124" s="3"/>
      <c r="L124" s="3"/>
      <c r="M124" s="3"/>
      <c r="N124" s="3"/>
      <c r="O124" s="3"/>
      <c r="P124" s="3"/>
    </row>
    <row r="125" spans="2:16" ht="15.75" customHeight="1">
      <c r="B125" s="42"/>
      <c r="C125" s="40" t="s">
        <v>259</v>
      </c>
      <c r="D125" s="59">
        <v>4500</v>
      </c>
      <c r="E125" s="41">
        <v>3500</v>
      </c>
      <c r="F125" s="41">
        <v>4500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2:16" ht="15.75" customHeight="1">
      <c r="B126" s="42"/>
      <c r="C126" s="40" t="s">
        <v>180</v>
      </c>
      <c r="D126" s="43" t="s">
        <v>181</v>
      </c>
      <c r="E126" s="43" t="s">
        <v>182</v>
      </c>
      <c r="F126" s="43" t="s">
        <v>186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2:16" ht="15.75" customHeight="1">
      <c r="B127" s="38" t="s">
        <v>46</v>
      </c>
      <c r="C127" s="39" t="s">
        <v>187</v>
      </c>
      <c r="D127" s="60" t="s">
        <v>276</v>
      </c>
      <c r="E127" s="17" t="s">
        <v>277</v>
      </c>
      <c r="F127" s="17" t="s">
        <v>278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2:16" ht="15.75" customHeight="1">
      <c r="B128" s="44" t="s">
        <v>279</v>
      </c>
      <c r="C128" s="42"/>
      <c r="D128" s="41">
        <f>D122+D124+D125</f>
        <v>102000</v>
      </c>
      <c r="E128" s="41">
        <f>D122+E124+E125</f>
        <v>106500</v>
      </c>
      <c r="F128" s="41">
        <f>D122+F124+F125</f>
        <v>108500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2:16" ht="15.75" customHeight="1">
      <c r="B129" s="61" t="s">
        <v>280</v>
      </c>
      <c r="C129" s="42"/>
      <c r="D129" s="41">
        <f>D122+D124+D125</f>
        <v>102000</v>
      </c>
      <c r="E129" s="41">
        <f>D122+E124+E125</f>
        <v>106500</v>
      </c>
      <c r="F129" s="41">
        <f>D122+F124+F125</f>
        <v>108500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2:16" ht="15.75" customHeight="1">
      <c r="B130" s="61" t="s">
        <v>281</v>
      </c>
      <c r="C130" s="42"/>
      <c r="D130" s="41">
        <f>D122+D124+D125</f>
        <v>102000</v>
      </c>
      <c r="E130" s="41">
        <f>D122+E124+E125</f>
        <v>106500</v>
      </c>
      <c r="F130" s="41">
        <f>D122+F124+F125</f>
        <v>108500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2:16" ht="15.75" customHeight="1"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2:16" ht="15.75" customHeight="1"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2:16" ht="15.75" customHeight="1">
      <c r="L133" s="3"/>
      <c r="M133" s="3"/>
      <c r="N133" s="3"/>
      <c r="O133" s="3"/>
      <c r="P133" s="3"/>
    </row>
    <row r="134" spans="2:16" ht="15.75" customHeight="1">
      <c r="L134" s="3"/>
      <c r="M134" s="3"/>
      <c r="N134" s="3"/>
      <c r="O134" s="3"/>
      <c r="P134" s="3"/>
    </row>
    <row r="135" spans="2:16" ht="15.75" customHeight="1">
      <c r="L135" s="3"/>
      <c r="M135" s="3"/>
      <c r="N135" s="3"/>
      <c r="O135" s="3"/>
      <c r="P135" s="3"/>
    </row>
    <row r="136" spans="2:16" ht="15.75" customHeight="1">
      <c r="L136" s="3"/>
      <c r="M136" s="3"/>
      <c r="N136" s="3"/>
      <c r="O136" s="3"/>
      <c r="P136" s="3"/>
    </row>
    <row r="137" spans="2:16" ht="15.75" customHeight="1">
      <c r="L137" s="3"/>
      <c r="M137" s="3"/>
      <c r="N137" s="3"/>
      <c r="O137" s="3"/>
      <c r="P137" s="3"/>
    </row>
    <row r="138" spans="2:16" ht="15.75" customHeight="1">
      <c r="L138" s="3"/>
      <c r="M138" s="3"/>
      <c r="N138" s="3"/>
      <c r="O138" s="3"/>
      <c r="P138" s="3"/>
    </row>
    <row r="139" spans="2:16" ht="15.75" customHeight="1">
      <c r="L139" s="3"/>
      <c r="M139" s="3"/>
      <c r="N139" s="3"/>
      <c r="O139" s="3"/>
      <c r="P139" s="3"/>
    </row>
    <row r="140" spans="2:16" ht="15.75" customHeight="1">
      <c r="L140" s="3"/>
      <c r="M140" s="3"/>
      <c r="N140" s="3"/>
      <c r="O140" s="3"/>
      <c r="P140" s="3"/>
    </row>
    <row r="141" spans="2:16" ht="15.75" customHeight="1">
      <c r="L141" s="3"/>
      <c r="M141" s="3"/>
      <c r="N141" s="3"/>
      <c r="O141" s="3"/>
      <c r="P141" s="3"/>
    </row>
    <row r="142" spans="2:16" ht="15.75" customHeight="1">
      <c r="L142" s="3"/>
      <c r="M142" s="3"/>
      <c r="N142" s="3"/>
      <c r="O142" s="3"/>
      <c r="P142" s="3"/>
    </row>
    <row r="143" spans="2:16" ht="15.75" customHeight="1">
      <c r="L143" s="3"/>
      <c r="M143" s="3"/>
      <c r="N143" s="3"/>
      <c r="O143" s="3"/>
      <c r="P143" s="3"/>
    </row>
    <row r="144" spans="2:16" ht="15.75" customHeight="1">
      <c r="L144" s="3"/>
      <c r="M144" s="3"/>
      <c r="N144" s="3"/>
      <c r="O144" s="3"/>
      <c r="P144" s="3"/>
    </row>
    <row r="145" spans="4:16" ht="15.75" customHeight="1">
      <c r="L145" s="3"/>
      <c r="M145" s="3"/>
      <c r="N145" s="3"/>
      <c r="O145" s="3"/>
      <c r="P145" s="3"/>
    </row>
    <row r="146" spans="4:16" ht="15.75" customHeight="1">
      <c r="L146" s="3"/>
      <c r="M146" s="3"/>
      <c r="N146" s="3"/>
      <c r="O146" s="3"/>
      <c r="P146" s="3"/>
    </row>
    <row r="147" spans="4:16" ht="15.75" customHeight="1">
      <c r="L147" s="3"/>
      <c r="M147" s="3"/>
      <c r="N147" s="3"/>
      <c r="O147" s="3"/>
      <c r="P147" s="3"/>
    </row>
    <row r="148" spans="4:16" ht="15.75" customHeight="1">
      <c r="L148" s="3"/>
      <c r="M148" s="3"/>
      <c r="N148" s="3"/>
      <c r="O148" s="3"/>
      <c r="P148" s="3"/>
    </row>
    <row r="149" spans="4:16" ht="15.75" customHeight="1">
      <c r="M149" s="3"/>
      <c r="N149" s="3"/>
      <c r="O149" s="3"/>
      <c r="P149" s="3"/>
    </row>
    <row r="150" spans="4:16" ht="15.75" customHeight="1">
      <c r="M150" s="3"/>
      <c r="N150" s="3"/>
      <c r="O150" s="3"/>
      <c r="P150" s="3"/>
    </row>
    <row r="151" spans="4:16" ht="15.75" customHeight="1">
      <c r="M151" s="3"/>
      <c r="N151" s="3"/>
      <c r="O151" s="3"/>
      <c r="P151" s="3"/>
    </row>
    <row r="152" spans="4:16" ht="15.75" customHeight="1">
      <c r="M152" s="3"/>
      <c r="N152" s="3"/>
      <c r="O152" s="3"/>
      <c r="P152" s="3"/>
    </row>
    <row r="153" spans="4:16" ht="15.75" customHeight="1">
      <c r="L153" s="3"/>
      <c r="M153" s="3"/>
      <c r="N153" s="3"/>
      <c r="O153" s="3"/>
      <c r="P153" s="3"/>
    </row>
    <row r="154" spans="4:16" ht="15.75" customHeight="1">
      <c r="L154" s="3"/>
      <c r="M154" s="3"/>
      <c r="N154" s="3"/>
      <c r="O154" s="3"/>
      <c r="P154" s="3"/>
    </row>
    <row r="155" spans="4:16" ht="15.75" customHeight="1">
      <c r="L155" s="3"/>
      <c r="M155" s="3"/>
      <c r="N155" s="3"/>
      <c r="O155" s="3"/>
      <c r="P155" s="3"/>
    </row>
    <row r="156" spans="4:16" ht="15.75" customHeight="1">
      <c r="D156" s="3"/>
      <c r="E156" s="3"/>
      <c r="F156" s="3"/>
      <c r="G156" s="3"/>
      <c r="H156" s="33"/>
      <c r="I156" s="33"/>
      <c r="J156" s="3"/>
      <c r="K156" s="3"/>
      <c r="L156" s="3"/>
      <c r="M156" s="3"/>
      <c r="N156" s="3"/>
      <c r="O156" s="3"/>
      <c r="P156" s="3"/>
    </row>
    <row r="157" spans="4:16" ht="15.75" customHeight="1">
      <c r="D157" s="3"/>
      <c r="E157" s="3"/>
      <c r="F157" s="3"/>
      <c r="G157" s="3"/>
      <c r="H157" s="33"/>
      <c r="I157" s="33"/>
      <c r="J157" s="3"/>
      <c r="K157" s="3"/>
      <c r="L157" s="3"/>
      <c r="M157" s="3"/>
      <c r="N157" s="3"/>
      <c r="O157" s="3"/>
      <c r="P157" s="3"/>
    </row>
    <row r="158" spans="4:16" ht="15.75" customHeight="1">
      <c r="D158" s="3"/>
      <c r="E158" s="3"/>
      <c r="F158" s="3"/>
      <c r="G158" s="3"/>
      <c r="I158" s="3"/>
      <c r="J158" s="3"/>
      <c r="K158" s="3"/>
      <c r="L158" s="3"/>
      <c r="M158" s="3"/>
      <c r="N158" s="3"/>
      <c r="O158" s="3"/>
      <c r="P158" s="3"/>
    </row>
    <row r="159" spans="4:16" ht="15.75" customHeight="1">
      <c r="D159" s="3"/>
      <c r="E159" s="3"/>
      <c r="F159" s="3"/>
      <c r="G159" s="3"/>
      <c r="I159" s="3"/>
      <c r="J159" s="3"/>
      <c r="K159" s="3"/>
      <c r="L159" s="3"/>
      <c r="M159" s="3"/>
      <c r="N159" s="3"/>
      <c r="O159" s="3"/>
      <c r="P159" s="3"/>
    </row>
    <row r="160" spans="4:16" ht="15.75" customHeight="1">
      <c r="D160" s="3"/>
      <c r="E160" s="3"/>
      <c r="F160" s="3"/>
      <c r="G160" s="3"/>
      <c r="I160" s="3"/>
      <c r="J160" s="3"/>
      <c r="K160" s="3"/>
      <c r="L160" s="3"/>
      <c r="M160" s="3"/>
      <c r="N160" s="3"/>
      <c r="O160" s="3"/>
      <c r="P160" s="3"/>
    </row>
    <row r="161" spans="4:16" ht="15.75" customHeight="1">
      <c r="D161" s="3"/>
      <c r="E161" s="3"/>
      <c r="F161" s="3"/>
      <c r="G161" s="3"/>
      <c r="I161" s="3"/>
      <c r="J161" s="3"/>
      <c r="K161" s="3"/>
      <c r="L161" s="3"/>
      <c r="M161" s="3"/>
      <c r="N161" s="3"/>
      <c r="O161" s="3"/>
      <c r="P161" s="3"/>
    </row>
    <row r="162" spans="4:16" ht="15.75" customHeight="1">
      <c r="D162" s="3"/>
      <c r="E162" s="3"/>
      <c r="F162" s="3"/>
      <c r="G162" s="3"/>
      <c r="I162" s="3"/>
      <c r="J162" s="3"/>
      <c r="K162" s="3"/>
      <c r="L162" s="3"/>
      <c r="M162" s="3"/>
      <c r="N162" s="3"/>
      <c r="O162" s="3"/>
      <c r="P162" s="3"/>
    </row>
    <row r="163" spans="4:16" ht="15.75" customHeight="1">
      <c r="D163" s="3"/>
      <c r="E163" s="3"/>
      <c r="F163" s="3"/>
      <c r="G163" s="3"/>
      <c r="I163" s="3"/>
      <c r="J163" s="3"/>
      <c r="K163" s="3"/>
      <c r="L163" s="3"/>
      <c r="M163" s="3"/>
      <c r="N163" s="3"/>
      <c r="O163" s="3"/>
      <c r="P163" s="3"/>
    </row>
    <row r="164" spans="4:16" ht="15.75" customHeight="1">
      <c r="D164" s="3"/>
      <c r="I164" s="3"/>
      <c r="J164" s="3"/>
      <c r="K164" s="3"/>
      <c r="L164" s="3"/>
      <c r="M164" s="3"/>
      <c r="N164" s="3"/>
      <c r="O164" s="3"/>
      <c r="P164" s="3"/>
    </row>
    <row r="165" spans="4:16" ht="15.75" customHeight="1">
      <c r="D165" s="3"/>
      <c r="I165" s="3"/>
      <c r="J165" s="3"/>
      <c r="K165" s="3"/>
      <c r="L165" s="3"/>
      <c r="M165" s="3"/>
      <c r="N165" s="3"/>
      <c r="O165" s="3"/>
      <c r="P165" s="3"/>
    </row>
    <row r="166" spans="4:16" ht="15.75" customHeight="1">
      <c r="D166" s="3"/>
      <c r="I166" s="3"/>
      <c r="J166" s="3"/>
      <c r="K166" s="3"/>
      <c r="L166" s="3"/>
      <c r="M166" s="3"/>
      <c r="N166" s="3"/>
      <c r="O166" s="3"/>
      <c r="P166" s="3"/>
    </row>
    <row r="167" spans="4:16" ht="15.75" customHeight="1">
      <c r="D167" s="3"/>
      <c r="I167" s="3"/>
      <c r="J167" s="3"/>
      <c r="K167" s="3"/>
      <c r="L167" s="3"/>
      <c r="M167" s="3"/>
      <c r="N167" s="3"/>
      <c r="O167" s="3"/>
      <c r="P167" s="3"/>
    </row>
    <row r="168" spans="4:16" ht="15.75" customHeight="1">
      <c r="D168" s="3"/>
      <c r="I168" s="3"/>
      <c r="J168" s="3"/>
      <c r="K168" s="3"/>
      <c r="L168" s="3"/>
      <c r="M168" s="3"/>
      <c r="N168" s="3"/>
      <c r="O168" s="3"/>
      <c r="P168" s="3"/>
    </row>
    <row r="169" spans="4:16" ht="15.75" customHeight="1">
      <c r="D169" s="3"/>
      <c r="I169" s="3"/>
      <c r="J169" s="3"/>
      <c r="K169" s="3"/>
      <c r="L169" s="3"/>
      <c r="M169" s="3"/>
      <c r="N169" s="3"/>
      <c r="O169" s="3"/>
      <c r="P169" s="3"/>
    </row>
    <row r="170" spans="4:16" ht="15.75" customHeight="1">
      <c r="D170" s="3"/>
      <c r="E170" s="33"/>
      <c r="F170" s="33"/>
      <c r="I170" s="3"/>
      <c r="J170" s="3"/>
      <c r="K170" s="3"/>
      <c r="L170" s="3"/>
      <c r="M170" s="3"/>
      <c r="N170" s="3"/>
      <c r="O170" s="3"/>
      <c r="P170" s="3"/>
    </row>
    <row r="171" spans="4:16" ht="15.75" customHeight="1">
      <c r="D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4:16" ht="15.75" customHeight="1"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4:16" ht="15.75" customHeight="1">
      <c r="D173" s="3"/>
      <c r="E173" s="33"/>
      <c r="F173" s="33"/>
      <c r="G173" s="33"/>
      <c r="H173" s="33"/>
      <c r="I173" s="3"/>
      <c r="J173" s="3"/>
      <c r="K173" s="3"/>
      <c r="L173" s="3"/>
      <c r="M173" s="3"/>
      <c r="N173" s="3"/>
      <c r="O173" s="3"/>
      <c r="P173" s="3"/>
    </row>
    <row r="174" spans="4:16" ht="15.75" customHeight="1">
      <c r="D174" s="3"/>
      <c r="E174" s="33"/>
      <c r="F174" s="33"/>
      <c r="I174" s="3"/>
      <c r="J174" s="3"/>
      <c r="K174" s="3"/>
      <c r="L174" s="3"/>
      <c r="M174" s="3"/>
      <c r="N174" s="3"/>
      <c r="O174" s="3"/>
      <c r="P174" s="3"/>
    </row>
    <row r="175" spans="4:16" ht="15.75" customHeight="1"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4:16" ht="15.75" customHeight="1"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4:16" ht="15.75" customHeight="1"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4:16" ht="15.75" customHeight="1"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4:16" ht="15.75" customHeight="1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4:16" ht="15.75" customHeight="1"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4:16" ht="15.75" customHeight="1"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4:16" ht="15.75" customHeight="1"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4:16" ht="15.75" customHeight="1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4:16" ht="15.75" customHeight="1"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4:16" ht="15.75" customHeight="1"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4:16" ht="15.75" customHeight="1"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4:16" ht="15.75" customHeight="1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4:16" ht="15.75" customHeight="1"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4:16" ht="15.75" customHeight="1"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4:16" ht="15.75" customHeight="1"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4:16" ht="15.75" customHeight="1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4:16" ht="15.75" customHeight="1"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4:16" ht="15.75" customHeight="1"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4:16" ht="15.75" customHeight="1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4:16" ht="15.75" customHeight="1"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4:16" ht="15.75" customHeight="1"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4:16" ht="15.75" customHeight="1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4:16" ht="15.75" customHeight="1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4:16" ht="15.75" customHeight="1"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4:16" ht="15.75" customHeight="1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4:16" ht="15.75" customHeight="1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4:16" ht="15.75" customHeight="1"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4:16" ht="15.75" customHeight="1"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4:16" ht="15.75" customHeight="1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4:16" ht="15.75" customHeight="1"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4:16" ht="15.75" customHeight="1"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4:16" ht="15.75" customHeight="1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4:16" ht="15.75" customHeight="1"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4:16" ht="15.75" customHeight="1"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4:16" ht="15.75" customHeight="1"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4:16" ht="15.75" customHeight="1"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4:16" ht="15.75" customHeight="1"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4:16" ht="15.75" customHeight="1"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4:16" ht="15.75" customHeight="1"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4:16" ht="15.75" customHeight="1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4:16" ht="15.75" customHeight="1"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4:16" ht="15.75" customHeight="1"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4:16" ht="15.75" customHeight="1"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4:16" ht="15.75" customHeight="1"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4:16" ht="15.75" customHeight="1"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4:16" ht="15.75" customHeight="1"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4:16" ht="15.75" customHeight="1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4:16" ht="15.75" customHeight="1"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4:16" ht="15.75" customHeight="1"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4:16" ht="15.75" customHeight="1"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4:16" ht="15.75" customHeight="1"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4:16" ht="15.75" customHeight="1"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4:16" ht="15.75" customHeight="1"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4:16" ht="15.75" customHeight="1"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4:16" ht="15.75" customHeight="1"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4:16" ht="15.75" customHeight="1"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4:16" ht="15.75" customHeight="1"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4:16" ht="15.75" customHeight="1"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4:16" ht="15.75" customHeight="1"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4:16" ht="15.75" customHeight="1"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4:16" ht="15.75" customHeight="1"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4:16" ht="15.75" customHeight="1"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4:16" ht="15.75" customHeight="1"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4:16" ht="15.75" customHeight="1"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4:16" ht="15.75" customHeight="1"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4:16" ht="15.75" customHeight="1"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4:16" ht="15.75" customHeight="1"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4:16" ht="15.75" customHeight="1"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4:16" ht="15.75" customHeight="1"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4:16" ht="15.75" customHeight="1"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4:16" ht="15.75" customHeight="1"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4:16" ht="15.75" customHeight="1"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4:16" ht="15.75" customHeight="1"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4:16" ht="15.75" customHeight="1"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4:16" ht="15.75" customHeight="1"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4:16" ht="15.75" customHeight="1"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4:16" ht="15.75" customHeight="1"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4:16" ht="15.75" customHeight="1"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4:16" ht="15.75" customHeight="1"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4:16" ht="15.75" customHeight="1"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4:16" ht="15.75" customHeight="1"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4:16" ht="15.75" customHeight="1"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4:16" ht="15.75" customHeight="1"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4:16" ht="15.75" customHeight="1"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4:16" ht="15.75" customHeight="1"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4:16" ht="15.75" customHeight="1"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4:16" ht="15.75" customHeight="1"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4:16" ht="15.75" customHeight="1"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4:16" ht="15.75" customHeight="1"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4:16" ht="15.75" customHeight="1"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4:16" ht="15.75" customHeight="1"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4:16" ht="15.75" customHeight="1"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4:16" ht="15.75" customHeight="1"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4:16" ht="15.75" customHeight="1"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4:16" ht="15.75" customHeight="1"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4:16" ht="15.75" customHeight="1"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4:16" ht="15.75" customHeight="1"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4:16" ht="15.75" customHeight="1"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4:16" ht="15.75" customHeight="1"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4:16" ht="15.75" customHeight="1"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4:16" ht="15.75" customHeight="1"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4:16" ht="15.75" customHeight="1"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4:16" ht="15.75" customHeight="1"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4:16" ht="15.75" customHeight="1"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4:16" ht="15.75" customHeight="1"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4:16" ht="15.75" customHeight="1"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4:16" ht="15.75" customHeight="1"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4:16" ht="15.75" customHeight="1"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4:16" ht="15.75" customHeight="1"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4:16" ht="15.75" customHeight="1"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4:16" ht="15.75" customHeight="1"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4:16" ht="15.75" customHeight="1"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4:16" ht="15.75" customHeight="1"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4:16" ht="15.75" customHeight="1"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4:16" ht="15.75" customHeight="1"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4:16" ht="15.75" customHeight="1"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4:16" ht="15.75" customHeight="1"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4:16" ht="15.75" customHeight="1"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4:16" ht="15.75" customHeight="1"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4:16" ht="15.75" customHeight="1"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4:16" ht="15.75" customHeight="1"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4:16" ht="15.75" customHeight="1"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4:16" ht="15.75" customHeight="1"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4:16" ht="15.75" customHeight="1"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4:16" ht="15.75" customHeight="1"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4:16" ht="15.75" customHeight="1"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4:16" ht="15.75" customHeight="1"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4:16" ht="15.75" customHeight="1"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4:16" ht="15.75" customHeight="1"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4:16" ht="15.75" customHeight="1"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4:16" ht="15.75" customHeight="1"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4:16" ht="15.75" customHeight="1"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4:16" ht="15.75" customHeight="1"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4:16" ht="15.75" customHeight="1"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4:16" ht="15.75" customHeight="1"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4:16" ht="15.75" customHeight="1"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4:16" ht="15.75" customHeight="1"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4:16" ht="15.75" customHeight="1"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4:16" ht="15.75" customHeight="1"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4:16" ht="15.75" customHeight="1"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4:16" ht="15.75" customHeight="1"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4:16" ht="15.75" customHeight="1"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4:16" ht="15.75" customHeight="1"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4:16" ht="15.75" customHeight="1"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4:16" ht="15.75" customHeight="1"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4:16" ht="15.75" customHeight="1"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4:16" ht="15.75" customHeight="1"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4:16" ht="15.75" customHeight="1"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4:16" ht="15.75" customHeight="1"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4:16" ht="15.75" customHeight="1"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4:16" ht="15.75" customHeight="1"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4:16" ht="15.75" customHeight="1"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4:16" ht="15.75" customHeight="1"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4:16" ht="15.75" customHeight="1"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4:16" ht="15.75" customHeight="1"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4:16" ht="15.75" customHeight="1"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4:16" ht="15.75" customHeight="1"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4:16" ht="15.75" customHeight="1"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4:16" ht="15.75" customHeight="1"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4:16" ht="15.75" customHeight="1"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4:16" ht="15.75" customHeight="1"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4:16" ht="15.75" customHeight="1"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4:16" ht="15.75" customHeight="1"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4:16" ht="15.75" customHeight="1"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4:16" ht="15.75" customHeight="1"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4:16" ht="15.75" customHeight="1"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4:16" ht="15.75" customHeight="1"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4:16" ht="15.75" customHeight="1"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4:16" ht="15.75" customHeight="1"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4:16" ht="15.75" customHeight="1"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4:16" ht="15.75" customHeight="1"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4:16" ht="15.75" customHeight="1"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4:16" ht="15.75" customHeight="1"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4:16" ht="15.75" customHeight="1"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4:16" ht="15.75" customHeight="1"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4:16" ht="15.75" customHeight="1"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4:16" ht="15.75" customHeight="1"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4:16" ht="15.75" customHeight="1"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4:16" ht="15.75" customHeight="1"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4:16" ht="15.75" customHeight="1"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4:16" ht="15.75" customHeight="1"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4:16" ht="15.75" customHeight="1"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4:16" ht="15.75" customHeight="1"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4:16" ht="15.75" customHeight="1"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4:16" ht="15.75" customHeight="1"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4:16" ht="15.75" customHeight="1"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4:16" ht="15.75" customHeight="1"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4:16" ht="15.75" customHeight="1"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4:16" ht="15.75" customHeight="1"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4:16" ht="15.75" customHeight="1"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4:16" ht="15.75" customHeight="1"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4:16" ht="15.75" customHeight="1"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4:16" ht="15.75" customHeight="1"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4:16" ht="15.75" customHeight="1"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4:16" ht="15.75" customHeight="1"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4:16" ht="15.75" customHeight="1"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4:16" ht="15.75" customHeight="1"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4:16" ht="15.75" customHeight="1"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4:16" ht="15.75" customHeight="1"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4:16" ht="15.75" customHeight="1"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4:16" ht="15.75" customHeight="1"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4:16" ht="15.75" customHeight="1"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4:16" ht="15.75" customHeight="1"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4:16" ht="15.75" customHeight="1"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4:16" ht="15.75" customHeight="1"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4:16" ht="15.75" customHeight="1"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4:16" ht="15.75" customHeight="1"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4:16" ht="15.75" customHeight="1"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4:16" ht="15.75" customHeight="1"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4:16" ht="15.75" customHeight="1"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4:16" ht="15.75" customHeight="1"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4:16" ht="15.75" customHeight="1"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4:16" ht="15.75" customHeight="1"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4:16" ht="15.75" customHeight="1"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4:16" ht="15.75" customHeight="1"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4:16" ht="15.75" customHeight="1"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4:16" ht="15.75" customHeight="1"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4:16" ht="15.75" customHeight="1"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4:16" ht="15.75" customHeight="1"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4:16" ht="15.75" customHeight="1"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4:16" ht="15.75" customHeight="1"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4:16" ht="15.75" customHeight="1"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4:16" ht="15.75" customHeight="1"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4:16" ht="15.75" customHeight="1"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4:16" ht="15.75" customHeight="1"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4:16" ht="15.75" customHeight="1"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4:16" ht="15.75" customHeight="1"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4:16" ht="15.75" customHeight="1"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4:16" ht="15.75" customHeight="1"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4:16" ht="15.75" customHeight="1"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4:16" ht="15.75" customHeight="1"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4:16" ht="15.75" customHeight="1"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4:16" ht="15.75" customHeight="1"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4:16" ht="15.75" customHeight="1"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4:16" ht="15.75" customHeight="1"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4:16" ht="15.75" customHeight="1"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4:16" ht="15.75" customHeight="1"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4:16" ht="15.75" customHeight="1"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4:16" ht="15.75" customHeight="1"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4:16" ht="15.75" customHeight="1"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4:16" ht="15.75" customHeight="1"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4:16" ht="15.75" customHeight="1"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4:16" ht="15.75" customHeight="1"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4:16" ht="15.75" customHeight="1"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4:16" ht="15.75" customHeight="1"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4:16" ht="15.75" customHeight="1"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4:16" ht="15.75" customHeight="1"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4:16" ht="15.75" customHeight="1"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4:16" ht="15.75" customHeight="1"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4:16" ht="15.75" customHeight="1"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4:16" ht="15.75" customHeight="1"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4:16" ht="15.75" customHeight="1"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4:16" ht="15.75" customHeight="1"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4:16" ht="15.75" customHeight="1"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4:16" ht="15.75" customHeight="1"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4:16" ht="15.75" customHeight="1"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4:16" ht="15.75" customHeight="1"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4:16" ht="15.75" customHeight="1"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4:16" ht="15.75" customHeight="1"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4:16" ht="15.75" customHeight="1"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4:16" ht="15.75" customHeight="1"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4:16" ht="15.75" customHeight="1"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4:16" ht="15.75" customHeight="1"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4:16" ht="15.75" customHeight="1"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4:16" ht="15.75" customHeight="1"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4:16" ht="15.75" customHeight="1"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4:16" ht="15.75" customHeight="1"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4:16" ht="15.75" customHeight="1"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4:16" ht="15.75" customHeight="1"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4:16" ht="15.75" customHeight="1"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4:16" ht="15.75" customHeight="1"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4:16" ht="15.75" customHeight="1"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4:16" ht="15.75" customHeight="1"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4:16" ht="15.75" customHeight="1"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4:16" ht="15.75" customHeight="1"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4:16" ht="15.75" customHeight="1"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4:16" ht="15.75" customHeight="1"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4:16" ht="15.75" customHeight="1"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4:16" ht="15.75" customHeight="1"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4:16" ht="15.75" customHeight="1"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4:16" ht="15.75" customHeight="1"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4:16" ht="15.75" customHeight="1"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4:16" ht="15.75" customHeight="1"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4:16" ht="15.75" customHeight="1"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4:16" ht="15.75" customHeight="1"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4:16" ht="15.75" customHeight="1"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4:16" ht="15.75" customHeight="1"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4:16" ht="15.75" customHeight="1"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4:16" ht="15.75" customHeight="1"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4:16" ht="15.75" customHeight="1"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4:16" ht="15.75" customHeight="1"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4:16" ht="15.75" customHeight="1"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4:16" ht="15.75" customHeight="1"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4:16" ht="15.75" customHeight="1"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4:16" ht="15.75" customHeight="1"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4:16" ht="15.75" customHeight="1"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4:16" ht="15.75" customHeight="1"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4:16" ht="15.75" customHeight="1"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4:16" ht="15.75" customHeight="1"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4:16" ht="15.75" customHeight="1"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4:16" ht="15.75" customHeight="1"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4:16" ht="15.75" customHeight="1"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4:16" ht="15.75" customHeight="1"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4:16" ht="15.75" customHeight="1"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4:16" ht="15.75" customHeight="1"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4:16" ht="15.75" customHeight="1"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4:16" ht="15.75" customHeight="1"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4:16" ht="15.75" customHeight="1"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4:16" ht="15.75" customHeight="1"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4:16" ht="15.75" customHeight="1"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4:16" ht="15.75" customHeight="1"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4:16" ht="15.75" customHeight="1"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4:16" ht="15.75" customHeight="1"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4:16" ht="15.75" customHeight="1"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4:16" ht="15.75" customHeight="1"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4:16" ht="15.75" customHeight="1"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4:16" ht="15.75" customHeight="1"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4:16" ht="15.75" customHeight="1"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4:16" ht="15.75" customHeight="1"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4:16" ht="15.75" customHeight="1"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4:16" ht="15.75" customHeight="1"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4:16" ht="15.75" customHeight="1"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4:16" ht="15.75" customHeight="1"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4:16" ht="15.75" customHeight="1"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4:16" ht="15.75" customHeight="1"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4:16" ht="15.75" customHeight="1"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4:16" ht="15.75" customHeight="1"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4:16" ht="15.75" customHeight="1"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4:16" ht="15.75" customHeight="1"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4:16" ht="15.75" customHeight="1"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4:16" ht="15.75" customHeight="1"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4:16" ht="15.75" customHeight="1"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4:16" ht="15.75" customHeight="1"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4:16" ht="15.75" customHeight="1"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4:16" ht="15.75" customHeight="1"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4:16" ht="15.75" customHeight="1"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4:16" ht="15.75" customHeight="1"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4:16" ht="15.75" customHeight="1"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4:16" ht="15.75" customHeight="1"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4:16" ht="15.75" customHeight="1"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4:16" ht="15.75" customHeight="1"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4:16" ht="15.75" customHeight="1"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4:16" ht="15.75" customHeight="1"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4:16" ht="15.75" customHeight="1"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4:16" ht="15.75" customHeight="1"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4:16" ht="15.75" customHeight="1"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4:16" ht="15.75" customHeight="1"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4:16" ht="15.75" customHeight="1"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4:16" ht="15.75" customHeight="1"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4:16" ht="15.75" customHeight="1"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4:16" ht="15.75" customHeight="1"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4:16" ht="15.75" customHeight="1"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4:16" ht="15.75" customHeight="1"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4:16" ht="15.75" customHeight="1"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4:16" ht="15.75" customHeight="1"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4:16" ht="15.75" customHeight="1"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4:16" ht="15.75" customHeight="1"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4:16" ht="15.75" customHeight="1"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4:16" ht="15.75" customHeight="1"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4:16" ht="15.75" customHeight="1"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4:16" ht="15.75" customHeight="1"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4:16" ht="15.75" customHeight="1"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4:16" ht="15.75" customHeight="1"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4:16" ht="15.75" customHeight="1"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4:16" ht="15.75" customHeight="1"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4:16" ht="15.75" customHeight="1"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4:16" ht="15.75" customHeight="1"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4:16" ht="15.75" customHeight="1"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4:16" ht="15.75" customHeight="1"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4:16" ht="15.75" customHeight="1"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4:16" ht="15.75" customHeight="1"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4:16" ht="15.75" customHeight="1"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4:16" ht="15.75" customHeight="1"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4:16" ht="15.75" customHeight="1"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4:16" ht="15.75" customHeight="1"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4:16" ht="15.75" customHeight="1"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4:16" ht="15.75" customHeight="1"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4:16" ht="15.75" customHeight="1"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4:16" ht="15.75" customHeight="1"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4:16" ht="15.75" customHeight="1"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4:16" ht="15.75" customHeight="1"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4:16" ht="15.75" customHeight="1"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4:16" ht="15.75" customHeight="1"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4:16" ht="15.75" customHeight="1"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4:16" ht="15.75" customHeight="1"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4:16" ht="15.75" customHeight="1"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4:16" ht="15.75" customHeight="1"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4:16" ht="15.75" customHeight="1"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4:16" ht="15.75" customHeight="1"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4:16" ht="15.75" customHeight="1"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4:16" ht="15.75" customHeight="1"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4:16" ht="15.75" customHeight="1"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4:16" ht="15.75" customHeight="1"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4:16" ht="15.75" customHeight="1"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4:16" ht="15.75" customHeight="1"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4:16" ht="15.75" customHeight="1"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4:16" ht="15.75" customHeight="1"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4:16" ht="15.75" customHeight="1"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4:16" ht="15.75" customHeight="1"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4:16" ht="15.75" customHeight="1"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4:16" ht="15.75" customHeight="1"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4:16" ht="15.75" customHeight="1"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4:16" ht="15.75" customHeight="1"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4:16" ht="15.75" customHeight="1"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4:16" ht="15.75" customHeight="1"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4:16" ht="15.75" customHeight="1"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4:16" ht="15.75" customHeight="1"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4:16" ht="15.75" customHeight="1"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4:16" ht="15.75" customHeight="1"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4:16" ht="15.75" customHeight="1"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4:16" ht="15.75" customHeight="1"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4:16" ht="15.75" customHeight="1"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4:16" ht="15.75" customHeight="1"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4:16" ht="15.75" customHeight="1"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4:16" ht="15.75" customHeight="1"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4:16" ht="15.75" customHeight="1"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4:16" ht="15.75" customHeight="1"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4:16" ht="15.75" customHeight="1"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4:16" ht="15.75" customHeight="1"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4:16" ht="15.75" customHeight="1"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4:16" ht="15.75" customHeight="1"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4:16" ht="15.75" customHeight="1"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4:16" ht="15.75" customHeight="1"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4:16" ht="15.75" customHeight="1"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4:16" ht="15.75" customHeight="1"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4:16" ht="15.75" customHeight="1"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4:16" ht="15.75" customHeight="1"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4:16" ht="15.75" customHeight="1"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4:16" ht="15.75" customHeight="1"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4:16" ht="15.75" customHeight="1"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4:16" ht="15.75" customHeight="1"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4:16" ht="15.75" customHeight="1"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4:16" ht="15.75" customHeight="1"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4:16" ht="15.75" customHeight="1"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4:16" ht="15.75" customHeight="1"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4:16" ht="15.75" customHeight="1"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4:16" ht="15.75" customHeight="1"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4:16" ht="15.75" customHeight="1"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4:16" ht="15.75" customHeight="1"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4:16" ht="15.75" customHeight="1"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4:16" ht="15.75" customHeight="1"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4:16" ht="15.75" customHeight="1"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4:16" ht="15.75" customHeight="1"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4:16" ht="15.75" customHeight="1"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4:16" ht="15.75" customHeight="1"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4:16" ht="15.75" customHeight="1"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4:16" ht="15.75" customHeight="1"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4:16" ht="15.75" customHeight="1"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4:16" ht="15.75" customHeight="1"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4:16" ht="15.75" customHeight="1"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4:16" ht="15.75" customHeight="1"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4:16" ht="15.75" customHeight="1"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4:16" ht="15.75" customHeight="1"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4:16" ht="15.75" customHeight="1"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4:16" ht="15.75" customHeight="1"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4:16" ht="15.75" customHeight="1"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4:16" ht="15.75" customHeight="1"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4:16" ht="15.75" customHeight="1"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4:16" ht="15.75" customHeight="1"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4:16" ht="15.75" customHeight="1"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4:16" ht="15.75" customHeight="1"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4:16" ht="15.75" customHeight="1"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4:16" ht="15.75" customHeight="1"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4:16" ht="15.75" customHeight="1"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4:16" ht="15.75" customHeight="1"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4:16" ht="15.75" customHeight="1"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4:16" ht="15.75" customHeight="1"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4:16" ht="15.75" customHeight="1"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4:16" ht="15.75" customHeight="1"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4:16" ht="15.75" customHeight="1"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4:16" ht="15.75" customHeight="1"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4:16" ht="15.75" customHeight="1"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4:16" ht="15.75" customHeight="1"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4:16" ht="15.75" customHeight="1"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4:16" ht="15.75" customHeight="1"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4:16" ht="15.75" customHeight="1"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4:16" ht="15.75" customHeight="1"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4:16" ht="15.75" customHeight="1"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4:16" ht="15.75" customHeight="1"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4:16" ht="15.75" customHeight="1"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4:16" ht="15.75" customHeight="1"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4:16" ht="15.75" customHeight="1"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4:16" ht="15.75" customHeight="1"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4:16" ht="15.75" customHeight="1"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4:16" ht="15.75" customHeight="1"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4:16" ht="15.75" customHeight="1"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4:16" ht="15.75" customHeight="1"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4:16" ht="15.75" customHeight="1"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4:16" ht="15.75" customHeight="1"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4:16" ht="15.75" customHeight="1"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4:16" ht="15.75" customHeight="1"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4:16" ht="15.75" customHeight="1"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4:16" ht="15.75" customHeight="1"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4:16" ht="15.75" customHeight="1"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4:16" ht="15.75" customHeight="1"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4:16" ht="15.75" customHeight="1"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4:16" ht="15.75" customHeight="1"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4:16" ht="15.75" customHeight="1"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4:16" ht="15.75" customHeight="1"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4:16" ht="15.75" customHeight="1"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4:16" ht="15.75" customHeight="1"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4:16" ht="15.75" customHeight="1"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4:16" ht="15.75" customHeight="1"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4:16" ht="15.75" customHeight="1"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4:16" ht="15.75" customHeight="1"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4:16" ht="15.75" customHeight="1"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4:16" ht="15.75" customHeight="1"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4:16" ht="15.75" customHeight="1"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4:16" ht="15.75" customHeight="1"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4:16" ht="15.75" customHeight="1"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4:16" ht="15.75" customHeight="1"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4:16" ht="15.75" customHeight="1"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4:16" ht="15.75" customHeight="1"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4:16" ht="15.75" customHeight="1"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4:16" ht="15.75" customHeight="1"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4:16" ht="15.75" customHeight="1"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4:16" ht="15.75" customHeight="1"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4:16" ht="15.75" customHeight="1"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4:16" ht="15.75" customHeight="1"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4:16" ht="15.75" customHeight="1"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4:16" ht="15.75" customHeight="1"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4:16" ht="15.75" customHeight="1"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4:16" ht="15.75" customHeight="1"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4:16" ht="15.75" customHeight="1"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4:16" ht="15.75" customHeight="1"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4:16" ht="15.75" customHeight="1"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4:16" ht="15.75" customHeight="1"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4:16" ht="15.75" customHeight="1"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4:16" ht="15.75" customHeight="1"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4:16" ht="15.75" customHeight="1"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4:16" ht="15.75" customHeight="1"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4:16" ht="15.75" customHeight="1"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4:16" ht="15.75" customHeight="1"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4:16" ht="15.75" customHeight="1"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4:16" ht="15.75" customHeight="1"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4:16" ht="15.75" customHeight="1"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4:16" ht="15.75" customHeight="1"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4:16" ht="15.75" customHeight="1"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4:16" ht="15.75" customHeight="1"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4:16" ht="15.75" customHeight="1"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4:16" ht="15.75" customHeight="1"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4:16" ht="15.75" customHeight="1"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4:16" ht="15.75" customHeight="1"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4:16" ht="15.75" customHeight="1"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4:16" ht="15.75" customHeight="1"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4:16" ht="15.75" customHeight="1"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4:16" ht="15.75" customHeight="1"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4:16" ht="15.75" customHeight="1"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4:16" ht="15.75" customHeight="1"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4:16" ht="15.75" customHeight="1"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4:16" ht="15.75" customHeight="1"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4:16" ht="15.75" customHeight="1"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4:16" ht="15.75" customHeight="1"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4:16" ht="15.75" customHeight="1"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4:16" ht="15.75" customHeight="1"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4:16" ht="15.75" customHeight="1"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4:16" ht="15.75" customHeight="1"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4:16" ht="15.75" customHeight="1"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4:16" ht="15.75" customHeight="1"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4:16" ht="15.75" customHeight="1"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4:16" ht="15.75" customHeight="1"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4:16" ht="15.75" customHeight="1"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4:16" ht="15.75" customHeight="1"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4:16" ht="15.75" customHeight="1"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4:16" ht="15.75" customHeight="1"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4:16" ht="15.75" customHeight="1"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4:16" ht="15.75" customHeight="1"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4:16" ht="15.75" customHeight="1"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4:16" ht="15.75" customHeight="1"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4:16" ht="15.75" customHeight="1"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4:16" ht="15.75" customHeight="1"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4:16" ht="15.75" customHeight="1"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4:16" ht="15.75" customHeight="1"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4:16" ht="15.75" customHeight="1"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4:16" ht="15.75" customHeight="1"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4:16" ht="15.75" customHeight="1"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4:16" ht="15.75" customHeight="1"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4:16" ht="15.75" customHeight="1"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4:16" ht="15.75" customHeight="1"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4:16" ht="15.75" customHeight="1"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4:16" ht="15.75" customHeight="1"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4:16" ht="15.75" customHeight="1"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4:16" ht="15.75" customHeight="1"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4:16" ht="15.75" customHeight="1"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4:16" ht="15.75" customHeight="1"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4:16" ht="15.75" customHeight="1"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4:16" ht="15.75" customHeight="1"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4:16" ht="15.75" customHeight="1"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4:16" ht="15.75" customHeight="1"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4:16" ht="15.75" customHeight="1"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4:16" ht="15.75" customHeight="1"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4:16" ht="15.75" customHeight="1"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4:16" ht="15.75" customHeight="1"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4:16" ht="15.75" customHeight="1"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4:16" ht="15.75" customHeight="1"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4:16" ht="15.75" customHeight="1"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4:16" ht="15.75" customHeight="1"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4:16" ht="15.75" customHeight="1"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4:16" ht="15.75" customHeight="1"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4:16" ht="15.75" customHeight="1"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4:16" ht="15.75" customHeight="1"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4:16" ht="15.75" customHeight="1"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4:16" ht="15.75" customHeight="1"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4:16" ht="15.75" customHeight="1"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4:16" ht="15.75" customHeight="1"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4:16" ht="15.75" customHeight="1"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4:16" ht="15.75" customHeight="1"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4:16" ht="15.75" customHeight="1"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4:16" ht="15.75" customHeight="1"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4:16" ht="15.75" customHeight="1"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4:16" ht="15.75" customHeight="1"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4:16" ht="15.75" customHeight="1"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4:16" ht="15.75" customHeight="1"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4:16" ht="15.75" customHeight="1"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4:16" ht="15.75" customHeight="1"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4:16" ht="15.75" customHeight="1"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4:16" ht="15.75" customHeight="1"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4:16" ht="15.75" customHeight="1"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4:16" ht="15.75" customHeight="1"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4:16" ht="15.75" customHeight="1"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4:16" ht="15.75" customHeight="1"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4:16" ht="15.75" customHeight="1"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4:16" ht="15.75" customHeight="1"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4:16" ht="15.75" customHeight="1"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4:16" ht="15.75" customHeight="1"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4:16" ht="15.75" customHeight="1"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4:16" ht="15.75" customHeight="1"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4:16" ht="15.75" customHeight="1"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4:16" ht="15.75" customHeight="1"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4:16" ht="15.75" customHeight="1"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4:16" ht="15.75" customHeight="1"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4:16" ht="15.75" customHeight="1"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4:16" ht="15.75" customHeight="1"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4:16" ht="15.75" customHeight="1"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4:16" ht="15.75" customHeight="1"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4:16" ht="15.75" customHeight="1"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4:16" ht="15.75" customHeight="1"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4:16" ht="15.75" customHeight="1"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4:16" ht="15.75" customHeight="1"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4:16" ht="15.75" customHeight="1"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4:16" ht="15.75" customHeight="1"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4:16" ht="15.75" customHeight="1"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4:16" ht="15.75" customHeight="1"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4:16" ht="15.75" customHeight="1"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4:16" ht="15.75" customHeight="1"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4:16" ht="15.75" customHeight="1"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4:16" ht="15.75" customHeight="1"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4:16" ht="15.75" customHeight="1"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4:16" ht="15.75" customHeight="1"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4:16" ht="15.75" customHeight="1"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4:16" ht="15.75" customHeight="1"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4:16" ht="15.75" customHeight="1"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4:16" ht="15.75" customHeight="1"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4:16" ht="15.75" customHeight="1"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4:16" ht="15.75" customHeight="1"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4:16" ht="15.75" customHeight="1"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4:16" ht="15.75" customHeight="1"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4:16" ht="15.75" customHeight="1"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4:16" ht="15.75" customHeight="1"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4:16" ht="15.75" customHeight="1"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4:16" ht="15.75" customHeight="1"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4:16" ht="15.75" customHeight="1"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4:16" ht="15.75" customHeight="1"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4:16" ht="15.75" customHeight="1"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4:16" ht="15.75" customHeight="1"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4:16" ht="15.75" customHeight="1"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4:16" ht="15.75" customHeight="1"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4:16" ht="15.75" customHeight="1"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4:16" ht="15.75" customHeight="1"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4:16" ht="15.75" customHeight="1"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4:16" ht="15.75" customHeight="1"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4:16" ht="15.75" customHeight="1"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4:16" ht="15.75" customHeight="1"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4:16" ht="15.75" customHeight="1"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4:16" ht="15.75" customHeight="1"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4:16" ht="15.75" customHeight="1"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4:16" ht="15.75" customHeight="1"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4:16" ht="15.75" customHeight="1"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4:16" ht="15.75" customHeight="1"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4:16" ht="15.75" customHeight="1"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4:16" ht="15.75" customHeight="1"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4:16" ht="15.75" customHeight="1"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4:16" ht="15.75" customHeight="1"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4:16" ht="15.75" customHeight="1"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4:16" ht="15.75" customHeight="1"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4:16" ht="15.75" customHeight="1"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4:16" ht="15.75" customHeight="1"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4:16" ht="15.75" customHeight="1"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4:16" ht="15.75" customHeight="1"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4:16" ht="15.75" customHeight="1"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4:16" ht="15.75" customHeight="1"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4:16" ht="15.75" customHeight="1"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4:16" ht="15.75" customHeight="1"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4:16" ht="15.75" customHeight="1"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4:16" ht="15.75" customHeight="1"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4:16" ht="15.75" customHeight="1"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4:16" ht="15.75" customHeight="1"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4:16" ht="15.75" customHeight="1"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4:16" ht="15.75" customHeight="1"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4:16" ht="15.75" customHeight="1"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4:16" ht="15.75" customHeight="1"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4:16" ht="15.75" customHeight="1"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4:16" ht="15.75" customHeight="1"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4:16" ht="15.75" customHeight="1"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4:16" ht="15.75" customHeight="1"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4:16" ht="15.75" customHeight="1"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4:16" ht="15.75" customHeight="1"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4:16" ht="15.75" customHeight="1"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4:16" ht="15.75" customHeight="1"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4:16" ht="15.75" customHeight="1"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4:16" ht="15.75" customHeight="1"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4:16" ht="15.75" customHeight="1"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4:16" ht="15.75" customHeight="1"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4:16" ht="15.75" customHeight="1"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4:16" ht="15.75" customHeight="1"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4:16" ht="15.75" customHeight="1"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4:16" ht="15.75" customHeight="1"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4:16" ht="15.75" customHeight="1"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4:16" ht="15.75" customHeight="1"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4:16" ht="15.75" customHeight="1"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4:16" ht="15.75" customHeight="1"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4:16" ht="15.75" customHeight="1"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4:16" ht="15.75" customHeight="1"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4:16" ht="15.75" customHeight="1"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4:16" ht="15.75" customHeight="1"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4:16" ht="15.75" customHeight="1"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4:16" ht="15.75" customHeight="1"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4:16" ht="15.75" customHeight="1"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4:16" ht="15.75" customHeight="1"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4:16" ht="15.75" customHeight="1"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4:16" ht="15.75" customHeight="1"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4:16" ht="15.75" customHeight="1"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4:16" ht="15.75" customHeight="1"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4:16" ht="15.75" customHeight="1"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4:16" ht="15.75" customHeight="1"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4:16" ht="15.75" customHeight="1"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4:16" ht="15.75" customHeight="1"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4:16" ht="15.75" customHeight="1"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4:16" ht="15.75" customHeight="1"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4:16" ht="15.75" customHeight="1"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4:16" ht="15.75" customHeight="1"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4:16" ht="15.75" customHeight="1"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4:16" ht="15.75" customHeight="1"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4:16" ht="15.75" customHeight="1"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4:16" ht="15.75" customHeight="1"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4:16" ht="15.75" customHeight="1"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4:16" ht="15.75" customHeight="1"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4:16" ht="15.75" customHeight="1"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4:16" ht="15.75" customHeight="1"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4:16" ht="15.75" customHeight="1"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4:16" ht="15.75" customHeight="1"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4:16" ht="15.75" customHeight="1"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4:16" ht="15.75" customHeight="1"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4:16" ht="15.75" customHeight="1"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4:16" ht="15.75" customHeight="1"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4:16" ht="15.75" customHeight="1"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4:16" ht="15.75" customHeight="1"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4:16" ht="15.75" customHeight="1"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4:16" ht="15.75" customHeight="1"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4:16" ht="15.75" customHeight="1"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4:16" ht="15.75" customHeight="1"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4:16" ht="15.75" customHeight="1"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4:16" ht="15.75" customHeight="1"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4:16" ht="15.75" customHeight="1"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4:16" ht="15.75" customHeight="1"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4:16" ht="15.75" customHeight="1"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4:16" ht="15.75" customHeight="1"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4:16" ht="15.75" customHeight="1"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4:16" ht="15.75" customHeight="1"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4:16" ht="15.75" customHeight="1"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4:16" ht="15.75" customHeight="1"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4:16" ht="15.75" customHeight="1"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4:16" ht="15.75" customHeight="1"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4:16" ht="15.75" customHeight="1"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4:16" ht="15.75" customHeight="1"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4:16" ht="15.75" customHeight="1"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4:16" ht="15.75" customHeight="1"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4:16" ht="15.75" customHeight="1"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4:16" ht="15.75" customHeight="1"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4:16" ht="15.75" customHeight="1"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4:16" ht="15.75" customHeight="1"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4:16" ht="15.75" customHeight="1"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4:16" ht="15.75" customHeight="1"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4:16" ht="15.75" customHeight="1"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4:16" ht="15.75" customHeight="1"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4:16" ht="15.75" customHeight="1"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4:16" ht="15.75" customHeight="1"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4:16" ht="15.75" customHeight="1"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4:16" ht="15.75" customHeight="1"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4:16" ht="15.75" customHeight="1"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4:16" ht="15.75" customHeight="1"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4:16" ht="15.75" customHeight="1"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4:16" ht="15.75" customHeight="1"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4:16" ht="15.75" customHeight="1"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4:16" ht="15.75" customHeight="1"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4:16" ht="15.75" customHeight="1"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4:16" ht="15.75" customHeight="1"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4:16" ht="15.75" customHeight="1"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4:16" ht="15.75" customHeight="1"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4:16" ht="15.75" customHeight="1"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4:16" ht="15.75" customHeight="1"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4:16" ht="15.75" customHeight="1"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4:16" ht="15.75" customHeight="1"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4:16" ht="15.75" customHeight="1"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4:16" ht="15.75" customHeight="1"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4:16" ht="15.75" customHeight="1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4:16" ht="15.75" customHeight="1"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4:16" ht="15.75" customHeight="1"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4:16" ht="15.75" customHeight="1"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4:16" ht="15.75" customHeight="1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4:16" ht="15.75" customHeight="1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4:16" ht="15.75" customHeight="1"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4:16" ht="15.75" customHeight="1"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4:16" ht="15.75" customHeight="1"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4:16" ht="15.75" customHeight="1"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4:16" ht="15.75" customHeight="1"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4:16" ht="15.75" customHeight="1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4:16" ht="15.75" customHeight="1"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4:16" ht="15.75" customHeight="1"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4:16" ht="15.75" customHeight="1"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4:16" ht="15.75" customHeight="1"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4:16" ht="15.75" customHeight="1"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4:16" ht="15.75" customHeight="1"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4:16" ht="15.75" customHeight="1"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4:16" ht="15.75" customHeight="1"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4:16" ht="15.75" customHeight="1"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4:16" ht="15.75" customHeight="1"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4:16" ht="15.75" customHeight="1"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4:16" ht="15.75" customHeight="1"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4:16" ht="15.75" customHeight="1"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 spans="4:16" ht="15.75" customHeight="1"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4:16" ht="15.75" customHeight="1"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 spans="4:16" ht="15.75" customHeight="1"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 spans="4:16" ht="15.75" customHeight="1"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 spans="4:16" ht="15.75" customHeight="1"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 spans="4:16" ht="15.75" customHeight="1"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</sheetData>
  <printOptions horizontalCentered="1" verticalCentered="1"/>
  <pageMargins left="0" right="0" top="0.5" bottom="0.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Billet and Gauge</vt:lpstr>
      <vt:lpstr>RM Price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SHARMA</dc:creator>
  <cp:keywords/>
  <dc:description/>
  <cp:lastModifiedBy>N J</cp:lastModifiedBy>
  <cp:revision/>
  <dcterms:created xsi:type="dcterms:W3CDTF">2018-08-06T13:28:28Z</dcterms:created>
  <dcterms:modified xsi:type="dcterms:W3CDTF">2026-08-10T13:20:31Z</dcterms:modified>
  <cp:category/>
  <cp:contentStatus/>
</cp:coreProperties>
</file>